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Piedras por zona" sheetId="3" state="visible" r:id="rId3"/>
    <sheet xmlns:r="http://schemas.openxmlformats.org/officeDocument/2006/relationships" name="Capas y peso" sheetId="4" state="visible" r:id="rId4"/>
    <sheet xmlns:r="http://schemas.openxmlformats.org/officeDocument/2006/relationships" name="Patrón" sheetId="5" state="visible" r:id="rId5"/>
    <sheet xmlns:r="http://schemas.openxmlformats.org/officeDocument/2006/relationships" name="Piezas DTF" sheetId="6" state="visible" r:id="rId6"/>
    <sheet xmlns:r="http://schemas.openxmlformats.org/officeDocument/2006/relationships" name="Herramientas" sheetId="7" state="visible" r:id="rId7"/>
  </sheets>
  <definedNames>
    <definedName name="_xlnm._FilterDatabase" localSheetId="1" hidden="1">'Compras'!$A$5:$Q$43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#"/>
    <numFmt numFmtId="165" formatCode="0%;-0%;&quot;—&quot;"/>
    <numFmt numFmtId="166" formatCode="#,##0;-#,##0;&quot;ok&quot;"/>
    <numFmt numFmtId="167" formatCode="0.0"/>
    <numFmt numFmtId="168" formatCode="0;-0;&quot;—&quot;"/>
  </numFmts>
  <fonts count="12">
    <font>
      <name val="Calibri"/>
      <family val="2"/>
      <color theme="1"/>
      <sz val="11"/>
      <scheme val="minor"/>
    </font>
    <font>
      <name val="Arial"/>
      <b val="1"/>
      <color rgb="00063A31"/>
      <sz val="15"/>
    </font>
    <font>
      <name val="Arial"/>
      <color rgb="00555555"/>
      <sz val="10"/>
    </font>
    <font>
      <name val="Arial"/>
      <sz val="10"/>
    </font>
    <font>
      <name val="Arial"/>
      <b val="1"/>
      <color rgb="000F6652"/>
      <sz val="11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8A2A1A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F6652"/>
      </patternFill>
    </fill>
  </fills>
  <borders count="2">
    <border>
      <left/>
      <right/>
      <top/>
      <bottom/>
      <diagonal/>
    </border>
    <border>
      <bottom style="thin">
        <color rgb="00D9D2C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pivotButton="0" quotePrefix="0" xfId="0"/>
    <xf numFmtId="9" fontId="9" fillId="0" borderId="0" pivotButton="0" quotePrefix="0" xfId="0"/>
    <xf numFmtId="0" fontId="8" fillId="2" borderId="0" pivotButton="0" quotePrefix="0" xfId="0"/>
    <xf numFmtId="0" fontId="10" fillId="3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64" fontId="8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4" fontId="3" fillId="2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3" fontId="8" fillId="0" borderId="1" applyAlignment="1" pivotButton="0" quotePrefix="0" xfId="0">
      <alignment vertical="top"/>
    </xf>
    <xf numFmtId="9" fontId="3" fillId="0" borderId="1" applyAlignment="1" pivotButton="0" quotePrefix="0" xfId="0">
      <alignment vertical="top"/>
    </xf>
    <xf numFmtId="4" fontId="8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3" fontId="6" fillId="0" borderId="1" applyAlignment="1" pivotButton="0" quotePrefix="0" xfId="0">
      <alignment vertical="top"/>
    </xf>
    <xf numFmtId="166" fontId="3" fillId="0" borderId="1" applyAlignment="1" pivotButton="0" quotePrefix="0" xfId="0">
      <alignment vertical="top"/>
    </xf>
    <xf numFmtId="166" fontId="8" fillId="0" borderId="1" applyAlignment="1" pivotButton="0" quotePrefix="0" xfId="0">
      <alignment vertical="top"/>
    </xf>
    <xf numFmtId="0" fontId="10" fillId="3" borderId="1" applyAlignment="1" pivotButton="0" quotePrefix="0" xfId="0">
      <alignment vertical="center" wrapText="1"/>
    </xf>
    <xf numFmtId="3" fontId="10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2" fontId="8" fillId="0" borderId="1" applyAlignment="1" pivotButton="0" quotePrefix="0" xfId="0">
      <alignment vertical="top"/>
    </xf>
    <xf numFmtId="2" fontId="3" fillId="2" borderId="1" applyAlignment="1" pivotButton="0" quotePrefix="0" xfId="0">
      <alignment vertical="top"/>
    </xf>
    <xf numFmtId="167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taller</author>
  </authors>
  <commentList>
    <comment ref="C3" authorId="0" shapeId="0">
      <text>
        <t>Del manual: comprar un 15 % más de cada talla para reponer las que se pierdan o salgan defectuosas.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Ancla del Alma · lista de materiales</t>
        </is>
      </c>
    </row>
    <row r="2">
      <c r="A2" s="2" t="inlineStr">
        <is>
          <t>El Lago y el mar, amarrados a la cruz · hipótesis H = 200 cm, W = 150 cm</t>
        </is>
      </c>
    </row>
    <row r="4">
      <c r="A4" s="3" t="inlineStr"/>
    </row>
    <row r="5">
      <c r="A5" s="4" t="inlineStr">
        <is>
          <t>Antes de comprar</t>
        </is>
      </c>
    </row>
    <row r="6" ht="60" customHeight="1">
      <c r="A6" s="5" t="inlineStr">
        <is>
          <t>No se corta tela ni se imprime el pliego DTF hasta medir la réplica (24–27 oct). Las cantidades de tela, cordón y galón están calculadas para H = 200 cm y W = 150 cm: si la réplica mide distinto, las telas se multiplican por H/200 y los galones y cordones del contorno por el perímetro nuevo. Las piedras y perlas no cambian si el factor queda entre 0,95 y 1,05.</t>
        </is>
      </c>
    </row>
    <row r="7">
      <c r="A7" s="3" t="inlineStr"/>
    </row>
    <row r="8">
      <c r="A8" s="4" t="inlineStr">
        <is>
          <t>Hojas</t>
        </is>
      </c>
    </row>
    <row r="9" ht="30" customHeight="1">
      <c r="A9" s="3" t="inlineStr">
        <is>
          <t>Compras: todo lo que hay que comprar, con la cantidad de diseño, la reposición y lo que se compra. Aquí se anotan proveedor, precio y si ya se compró.</t>
        </is>
      </c>
    </row>
    <row r="10">
      <c r="A10" s="3" t="inlineStr">
        <is>
          <t>Piedras por zona: cada piedra y perla del diseño por zona, talla y tono, y la comprobación contra Compras.</t>
        </is>
      </c>
    </row>
    <row r="11">
      <c r="A11" s="3" t="inlineStr">
        <is>
          <t>Capas y peso: las 11 capas, sus materiales y el presupuesto de peso.</t>
        </is>
      </c>
    </row>
    <row r="12">
      <c r="A12" s="3" t="inlineStr">
        <is>
          <t>Patrón: las 12 piezas de tela (P01–P12) con medidas y márgenes.</t>
        </is>
      </c>
    </row>
    <row r="13">
      <c r="A13" s="3" t="inlineStr">
        <is>
          <t>Piezas DTF: las 18 piezas del pliego, cuántas van en el manto y cuántas de repuesto.</t>
        </is>
      </c>
    </row>
    <row r="14">
      <c r="A14" s="3" t="inlineStr">
        <is>
          <t>Herramientas: lo que hace falta en el taller, para marcar si ya se tiene.</t>
        </is>
      </c>
    </row>
    <row r="15">
      <c r="A15" s="3" t="inlineStr"/>
    </row>
    <row r="16">
      <c r="A16" s="4" t="inlineStr">
        <is>
          <t>Colores</t>
        </is>
      </c>
    </row>
    <row r="17">
      <c r="A17" s="6" t="inlineStr">
        <is>
          <t>Celdas amarillas: las llena el equipo (proveedor, precio unitario, comprado, «¿lo tenemos?»).</t>
        </is>
      </c>
    </row>
    <row r="18">
      <c r="A18" s="7" t="inlineStr">
        <is>
          <t>Texto azul: dato del diseño escrito a mano. Si cambia, se cambia ahí.</t>
        </is>
      </c>
    </row>
    <row r="19">
      <c r="A19" s="3" t="inlineStr">
        <is>
          <t>Texto negro: fórmula. No se escribe encima.</t>
        </is>
      </c>
    </row>
    <row r="20">
      <c r="A20" s="8" t="inlineStr">
        <is>
          <t>Texto verde: viene de otra hoja.</t>
        </is>
      </c>
    </row>
    <row r="21">
      <c r="A21" s="3" t="inlineStr"/>
    </row>
    <row r="22">
      <c r="A22" s="4" t="inlineStr">
        <is>
          <t>Ejemplo de cómo llenar una fila de Compras</t>
        </is>
      </c>
    </row>
    <row r="23" ht="30" customHeight="1">
      <c r="A23" s="3" t="inlineStr">
        <is>
          <t>Proveedor: «Tienda de telas del centro» · Precio unitario: 12,50 (por metro, en la moneda de la celda F3) · Comprado: sí. El subtotal se calcula solo (a comprar × precio).</t>
        </is>
      </c>
    </row>
    <row r="24">
      <c r="A24" s="3" t="inlineStr"/>
    </row>
    <row r="25">
      <c r="A25" s="4" t="inlineStr">
        <is>
          <t>Origen de los datos</t>
        </is>
      </c>
    </row>
    <row r="26" ht="30" customHeight="1">
      <c r="A26" s="3" t="inlineStr">
        <is>
          <t>taller/11-ancla-del-alma/piezas.json (materiales, patrón, capas, fases y pruebas) y datos/piedras.json (cada piedra con su posición). Este libro se rehace con herramientas/materiales.py.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F6652"/>
    <outlinePr summaryBelow="1" summaryRight="1"/>
    <pageSetUpPr fitToPage="1"/>
  </sheetPr>
  <dimension ref="A1:Q46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30" customWidth="1" min="3" max="3"/>
    <col width="38" customWidth="1" min="4" max="4"/>
    <col width="11" customWidth="1" min="5" max="5"/>
    <col width="8" customWidth="1" min="6" max="6"/>
    <col width="10" customWidth="1" min="7" max="7"/>
    <col width="10" customWidth="1" min="8" max="8"/>
    <col width="38" customWidth="1" min="9" max="9"/>
    <col width="26" customWidth="1" min="10" max="10"/>
    <col width="12" customWidth="1" min="11" max="11"/>
    <col width="14" customWidth="1" min="12" max="12"/>
    <col width="34" customWidth="1" min="13" max="13"/>
    <col width="22" customWidth="1" min="14" max="14"/>
    <col width="12" customWidth="1" min="15" max="15"/>
    <col width="12" customWidth="1" min="16" max="16"/>
    <col width="10" customWidth="1" min="17" max="17"/>
  </cols>
  <sheetData>
    <row r="1">
      <c r="A1" s="1" t="inlineStr">
        <is>
          <t>Compras</t>
        </is>
      </c>
    </row>
    <row r="2">
      <c r="A2" s="2" t="inlineStr">
        <is>
          <t>Cantidades para H = 200 cm, W = 150 cm. Las piedras y perlas llevan la reposición de la celda C3.</t>
        </is>
      </c>
    </row>
    <row r="3">
      <c r="A3" s="9" t="inlineStr">
        <is>
          <t>Reposición de piedras y perlas</t>
        </is>
      </c>
      <c r="C3" s="10" t="n">
        <v>0.15</v>
      </c>
      <c r="E3" s="9" t="inlineStr">
        <is>
          <t>Moneda</t>
        </is>
      </c>
      <c r="F3" s="11" t="inlineStr">
        <is>
          <t>USD</t>
        </is>
      </c>
    </row>
    <row r="5" ht="30" customHeight="1">
      <c r="A5" s="12" t="inlineStr">
        <is>
          <t>Código</t>
        </is>
      </c>
      <c r="B5" s="12" t="inlineStr">
        <is>
          <t>Grupo</t>
        </is>
      </c>
      <c r="C5" s="12" t="inlineStr">
        <is>
          <t>Material</t>
        </is>
      </c>
      <c r="D5" s="12" t="inlineStr">
        <is>
          <t>Especificación</t>
        </is>
      </c>
      <c r="E5" s="12" t="inlineStr">
        <is>
          <t>Cantidad de diseño</t>
        </is>
      </c>
      <c r="F5" s="12" t="inlineStr">
        <is>
          <t>Unidad</t>
        </is>
      </c>
      <c r="G5" s="12" t="inlineStr">
        <is>
          <t>Reposición</t>
        </is>
      </c>
      <c r="H5" s="12" t="inlineStr">
        <is>
          <t>A comprar</t>
        </is>
      </c>
      <c r="I5" s="12" t="inlineStr">
        <is>
          <t>Uso</t>
        </is>
      </c>
      <c r="J5" s="12" t="inlineStr">
        <is>
          <t>Capas</t>
        </is>
      </c>
      <c r="K5" s="12" t="inlineStr">
        <is>
          <t>Pruebas (26–28 oct)</t>
        </is>
      </c>
      <c r="L5" s="12" t="inlineStr">
        <is>
          <t>Se usa desde</t>
        </is>
      </c>
      <c r="M5" s="12" t="inlineStr">
        <is>
          <t>Cuándo comprar</t>
        </is>
      </c>
      <c r="N5" s="12" t="inlineStr">
        <is>
          <t>Proveedor</t>
        </is>
      </c>
      <c r="O5" s="12" t="inlineStr">
        <is>
          <t>Precio unitario</t>
        </is>
      </c>
      <c r="P5" s="12" t="inlineStr">
        <is>
          <t>Subtotal</t>
        </is>
      </c>
      <c r="Q5" s="12" t="inlineStr">
        <is>
          <t>Comprado</t>
        </is>
      </c>
    </row>
    <row r="6">
      <c r="A6" s="13" t="inlineStr">
        <is>
          <t>M01</t>
        </is>
      </c>
      <c r="B6" s="14" t="inlineStr">
        <is>
          <t>Telas</t>
        </is>
      </c>
      <c r="C6" s="15" t="inlineStr">
        <is>
          <t>Terciopelo esmeralda profundo</t>
        </is>
      </c>
      <c r="D6" s="15" t="inlineStr">
        <is>
          <t>Rayón o viscosa (mejor caída) o poliéster de buena calidad; ≈ #0F6652; ancho 1,40–1,50 m</t>
        </is>
      </c>
      <c r="E6" s="16" t="n">
        <v>4.2</v>
      </c>
      <c r="F6" s="14" t="inlineStr">
        <is>
          <t>m</t>
        </is>
      </c>
      <c r="G6" s="17" t="n">
        <v>0</v>
      </c>
      <c r="H6" s="18">
        <f>E6*(1+G6)</f>
        <v/>
      </c>
      <c r="I6" s="15" t="inlineStr">
        <is>
          <t>Cuerpo 2,1 m; vueltas, nesgas y retazos de muestra 2,1 m</t>
        </is>
      </c>
      <c r="J6" s="15" t="inlineStr">
        <is>
          <t>4 Vueltas de los bordes, 6 Cuerpo de terciopelo</t>
        </is>
      </c>
      <c r="K6" s="14" t="inlineStr">
        <is>
          <t>1, 3, 4, 8</t>
        </is>
      </c>
      <c r="L6" s="14" t="inlineStr">
        <is>
          <t>27 oct (F05)</t>
        </is>
      </c>
      <c r="M6" s="15" t="inlineStr">
        <is>
          <t>Primero tres muestras de 30 cm para la prueba 4; el largo completo, en cuanto se elija el tono.</t>
        </is>
      </c>
      <c r="N6" s="19" t="n"/>
      <c r="O6" s="20" t="n"/>
      <c r="P6" s="21">
        <f>IF(O6="","",H6*O6)</f>
        <v/>
      </c>
      <c r="Q6" s="19" t="n"/>
    </row>
    <row r="7">
      <c r="A7" s="13" t="inlineStr">
        <is>
          <t>M02</t>
        </is>
      </c>
      <c r="B7" s="14" t="inlineStr">
        <is>
          <t>Telas</t>
        </is>
      </c>
      <c r="C7" s="15" t="inlineStr">
        <is>
          <t>Raso o tafetán esmeralda hondo</t>
        </is>
      </c>
      <c r="D7" s="15" t="inlineStr">
        <is>
          <t>Poliéster, ≈ #063A31</t>
        </is>
      </c>
      <c r="E7" s="16" t="n">
        <v>2.3</v>
      </c>
      <c r="F7" s="14" t="inlineStr">
        <is>
          <t>m</t>
        </is>
      </c>
      <c r="G7" s="17" t="n">
        <v>0</v>
      </c>
      <c r="H7" s="18">
        <f>E7*(1+G7)</f>
        <v/>
      </c>
      <c r="I7" s="15" t="inlineStr">
        <is>
          <t>Forro: entero con tela de 1,50 m; con 1,40 m, dos mitades encontradas en el mismo largo</t>
        </is>
      </c>
      <c r="J7" s="15" t="inlineStr">
        <is>
          <t>3 Forro</t>
        </is>
      </c>
      <c r="K7" s="14" t="inlineStr">
        <is>
          <t>2, 8</t>
        </is>
      </c>
      <c r="L7" s="14" t="inlineStr">
        <is>
          <t>11 nov (F17)</t>
        </is>
      </c>
      <c r="M7" s="15" t="inlineStr">
        <is>
          <t>Una muestra para la prueba 2 (control) y la 8.</t>
        </is>
      </c>
      <c r="N7" s="19" t="n"/>
      <c r="O7" s="20" t="n"/>
      <c r="P7" s="21">
        <f>IF(O7="","",H7*O7)</f>
        <v/>
      </c>
      <c r="Q7" s="19" t="n"/>
    </row>
    <row r="8">
      <c r="A8" s="13" t="inlineStr">
        <is>
          <t>M03</t>
        </is>
      </c>
      <c r="B8" s="14" t="inlineStr">
        <is>
          <t>Telas</t>
        </is>
      </c>
      <c r="C8" s="15" t="inlineStr">
        <is>
          <t>Tafetán esmeralda hondo</t>
        </is>
      </c>
      <c r="D8" s="15" t="inlineStr">
        <is>
          <t>Poliéster</t>
        </is>
      </c>
      <c r="E8" s="16" t="n">
        <v>0.7</v>
      </c>
      <c r="F8" s="14" t="inlineStr">
        <is>
          <t>m</t>
        </is>
      </c>
      <c r="G8" s="17" t="n">
        <v>0</v>
      </c>
      <c r="H8" s="18">
        <f>E8*(1+G8)</f>
        <v/>
      </c>
      <c r="I8" s="15" t="inlineStr">
        <is>
          <t>Protector de roce (pieza de 65 × 95 cm al través)</t>
        </is>
      </c>
      <c r="J8" s="15" t="inlineStr">
        <is>
          <t>2 Protector de roce</t>
        </is>
      </c>
      <c r="K8" s="14" t="inlineStr"/>
      <c r="L8" s="14" t="inlineStr">
        <is>
          <t>11 nov (F17)</t>
        </is>
      </c>
      <c r="M8" s="15" t="inlineStr"/>
      <c r="N8" s="19" t="n"/>
      <c r="O8" s="20" t="n"/>
      <c r="P8" s="21">
        <f>IF(O8="","",H8*O8)</f>
        <v/>
      </c>
      <c r="Q8" s="19" t="n"/>
    </row>
    <row r="9">
      <c r="A9" s="13" t="inlineStr">
        <is>
          <t>M04</t>
        </is>
      </c>
      <c r="B9" s="14" t="inlineStr">
        <is>
          <t>DTF</t>
        </is>
      </c>
      <c r="C9" s="15" t="inlineStr">
        <is>
          <t>Raso duquesa marfil</t>
        </is>
      </c>
      <c r="D9" s="15" t="inlineStr">
        <is>
          <t>Poliéster, ≈ #F3EBDD</t>
        </is>
      </c>
      <c r="E9" s="16" t="n">
        <v>0.6</v>
      </c>
      <c r="F9" s="14" t="inlineStr">
        <is>
          <t>m</t>
        </is>
      </c>
      <c r="G9" s="17" t="n">
        <v>0</v>
      </c>
      <c r="H9" s="18">
        <f>E9*(1+G9)</f>
        <v/>
      </c>
      <c r="I9" s="15" t="inlineStr">
        <is>
          <t>Base de las 36 piezas DTF (más repuestos)</t>
        </is>
      </c>
      <c r="J9" s="15" t="inlineStr">
        <is>
          <t>8 Apliques: cruz y paneles DTF</t>
        </is>
      </c>
      <c r="K9" s="14" t="inlineStr">
        <is>
          <t>2</t>
        </is>
      </c>
      <c r="L9" s="14" t="inlineStr">
        <is>
          <t>26 oct (F04)</t>
        </is>
      </c>
      <c r="M9" s="15" t="inlineStr"/>
      <c r="N9" s="19" t="n"/>
      <c r="O9" s="20" t="n"/>
      <c r="P9" s="21">
        <f>IF(O9="","",H9*O9)</f>
        <v/>
      </c>
      <c r="Q9" s="19" t="n"/>
    </row>
    <row r="10">
      <c r="A10" s="13" t="inlineStr">
        <is>
          <t>M05</t>
        </is>
      </c>
      <c r="B10" s="14" t="inlineStr">
        <is>
          <t>DTF</t>
        </is>
      </c>
      <c r="C10" s="15" t="inlineStr">
        <is>
          <t>Impresión DTF</t>
        </is>
      </c>
      <c r="D10" s="15" t="inlineStr">
        <is>
          <t>Pliego de 56 × 98 cm (película de 60 cm), PNG a 300 ppp, polvo antimigración, capa blanca al 50 %</t>
        </is>
      </c>
      <c r="E10" s="22" t="n">
        <v>2</v>
      </c>
      <c r="F10" s="14" t="inlineStr">
        <is>
          <t>pliegos</t>
        </is>
      </c>
      <c r="G10" s="17" t="n">
        <v>0</v>
      </c>
      <c r="H10" s="23">
        <f>E10*(1+G10)</f>
        <v/>
      </c>
      <c r="I10" s="15" t="inlineStr">
        <is>
          <t>Uno de producción y una tira de prueba (prueba 2)</t>
        </is>
      </c>
      <c r="J10" s="15" t="inlineStr">
        <is>
          <t>8 Apliques: cruz y paneles DTF</t>
        </is>
      </c>
      <c r="K10" s="14" t="inlineStr">
        <is>
          <t>2</t>
        </is>
      </c>
      <c r="L10" s="14" t="inlineStr">
        <is>
          <t>26 oct (F04)</t>
        </is>
      </c>
      <c r="M10" s="15" t="inlineStr">
        <is>
          <t>La tira de prueba ya. El pliego de producción solo después de medir la réplica y aprobar la prueba 2.</t>
        </is>
      </c>
      <c r="N10" s="19" t="n"/>
      <c r="O10" s="20" t="n"/>
      <c r="P10" s="21">
        <f>IF(O10="","",H10*O10)</f>
        <v/>
      </c>
      <c r="Q10" s="19" t="n"/>
    </row>
    <row r="11">
      <c r="A11" s="13" t="inlineStr">
        <is>
          <t>M06</t>
        </is>
      </c>
      <c r="B11" s="14" t="inlineStr">
        <is>
          <t>DTF</t>
        </is>
      </c>
      <c r="C11" s="15" t="inlineStr">
        <is>
          <t>Entretela termoadhesiva fina</t>
        </is>
      </c>
      <c r="D11" s="15" t="inlineStr">
        <is>
          <t>Tejida o no tejida, de baja temperatura</t>
        </is>
      </c>
      <c r="E11" s="16" t="n">
        <v>0.6</v>
      </c>
      <c r="F11" s="14" t="inlineStr">
        <is>
          <t>m</t>
        </is>
      </c>
      <c r="G11" s="17" t="n">
        <v>0</v>
      </c>
      <c r="H11" s="18">
        <f>E11*(1+G11)</f>
        <v/>
      </c>
      <c r="I11" s="15" t="inlineStr">
        <is>
          <t>Estabiliza el raso antes de prensar</t>
        </is>
      </c>
      <c r="J11" s="15" t="inlineStr">
        <is>
          <t>8 Apliques: cruz y paneles DTF</t>
        </is>
      </c>
      <c r="K11" s="14" t="inlineStr">
        <is>
          <t>2</t>
        </is>
      </c>
      <c r="L11" s="14" t="inlineStr">
        <is>
          <t>26 oct (F04)</t>
        </is>
      </c>
      <c r="M11" s="15" t="inlineStr"/>
      <c r="N11" s="19" t="n"/>
      <c r="O11" s="20" t="n"/>
      <c r="P11" s="21">
        <f>IF(O11="","",H11*O11)</f>
        <v/>
      </c>
      <c r="Q11" s="19" t="n"/>
    </row>
    <row r="12">
      <c r="A12" s="13" t="inlineStr">
        <is>
          <t>M07</t>
        </is>
      </c>
      <c r="B12" s="14" t="inlineStr">
        <is>
          <t>DTF</t>
        </is>
      </c>
      <c r="C12" s="15" t="inlineStr">
        <is>
          <t>Fieltro fino marfil</t>
        </is>
      </c>
      <c r="D12" s="15" t="inlineStr">
        <is>
          <t>1–2 mm</t>
        </is>
      </c>
      <c r="E12" s="16" t="n">
        <v>0.3</v>
      </c>
      <c r="F12" s="14" t="inlineStr">
        <is>
          <t>m²</t>
        </is>
      </c>
      <c r="G12" s="17" t="n">
        <v>0</v>
      </c>
      <c r="H12" s="18">
        <f>E12*(1+G12)</f>
        <v/>
      </c>
      <c r="I12" s="15" t="inlineStr">
        <is>
          <t>Relleno de azucenas y crestas</t>
        </is>
      </c>
      <c r="J12" s="15" t="inlineStr">
        <is>
          <t>8 Apliques: cruz y paneles DTF</t>
        </is>
      </c>
      <c r="K12" s="14" t="inlineStr">
        <is>
          <t>2</t>
        </is>
      </c>
      <c r="L12" s="14" t="inlineStr">
        <is>
          <t>26 oct (F04)</t>
        </is>
      </c>
      <c r="M12" s="15" t="inlineStr"/>
      <c r="N12" s="19" t="n"/>
      <c r="O12" s="20" t="n"/>
      <c r="P12" s="21">
        <f>IF(O12="","",H12*O12)</f>
        <v/>
      </c>
      <c r="Q12" s="19" t="n"/>
    </row>
    <row r="13">
      <c r="A13" s="13" t="inlineStr">
        <is>
          <t>M08</t>
        </is>
      </c>
      <c r="B13" s="14" t="inlineStr">
        <is>
          <t>Soportes</t>
        </is>
      </c>
      <c r="C13" s="15" t="inlineStr">
        <is>
          <t>Organza de algodón o lino ligero</t>
        </is>
      </c>
      <c r="D13" s="15" t="inlineStr">
        <is>
          <t>Ancho 1,50 m</t>
        </is>
      </c>
      <c r="E13" s="22" t="n">
        <v>3</v>
      </c>
      <c r="F13" s="14" t="inlineStr">
        <is>
          <t>m</t>
        </is>
      </c>
      <c r="G13" s="17" t="n">
        <v>0</v>
      </c>
      <c r="H13" s="23">
        <f>E13*(1+G13)</f>
        <v/>
      </c>
      <c r="I13" s="15" t="inlineStr">
        <is>
          <t>Bajo todo lo bordado; doble bajo el pavé</t>
        </is>
      </c>
      <c r="J13" s="15" t="inlineStr">
        <is>
          <t>5 Organza de soporte y refuerzo del pie</t>
        </is>
      </c>
      <c r="K13" s="14" t="inlineStr">
        <is>
          <t>1</t>
        </is>
      </c>
      <c r="L13" s="14" t="inlineStr">
        <is>
          <t>27 oct (F05)</t>
        </is>
      </c>
      <c r="M13" s="15" t="inlineStr"/>
      <c r="N13" s="19" t="n"/>
      <c r="O13" s="20" t="n"/>
      <c r="P13" s="21">
        <f>IF(O13="","",H13*O13)</f>
        <v/>
      </c>
      <c r="Q13" s="19" t="n"/>
    </row>
    <row r="14">
      <c r="A14" s="13" t="inlineStr">
        <is>
          <t>M09</t>
        </is>
      </c>
      <c r="B14" s="14" t="inlineStr">
        <is>
          <t>Soportes</t>
        </is>
      </c>
      <c r="C14" s="15" t="inlineStr">
        <is>
          <t>Cinta de algodón de 2 cm</t>
        </is>
      </c>
      <c r="D14" s="15" t="inlineStr">
        <is>
          <t>Tejida</t>
        </is>
      </c>
      <c r="E14" s="16" t="n">
        <v>1.6</v>
      </c>
      <c r="F14" s="14" t="inlineStr">
        <is>
          <t>m</t>
        </is>
      </c>
      <c r="G14" s="17" t="n">
        <v>0</v>
      </c>
      <c r="H14" s="18">
        <f>E14*(1+G14)</f>
        <v/>
      </c>
      <c r="I14" s="15" t="inlineStr">
        <is>
          <t>Refuerzo del pie</t>
        </is>
      </c>
      <c r="J14" s="15" t="inlineStr">
        <is>
          <t>5 Organza de soporte y refuerzo del pie</t>
        </is>
      </c>
      <c r="K14" s="14" t="inlineStr"/>
      <c r="L14" s="14" t="inlineStr">
        <is>
          <t>27 oct (F05)</t>
        </is>
      </c>
      <c r="M14" s="15" t="inlineStr"/>
      <c r="N14" s="19" t="n"/>
      <c r="O14" s="20" t="n"/>
      <c r="P14" s="21">
        <f>IF(O14="","",H14*O14)</f>
        <v/>
      </c>
      <c r="Q14" s="19" t="n"/>
    </row>
    <row r="15">
      <c r="A15" s="13" t="inlineStr">
        <is>
          <t>M10</t>
        </is>
      </c>
      <c r="B15" s="14" t="inlineStr">
        <is>
          <t>Soportes</t>
        </is>
      </c>
      <c r="C15" s="15" t="inlineStr">
        <is>
          <t>Lienzo de algodón</t>
        </is>
      </c>
      <c r="D15" s="15" t="inlineStr">
        <is>
          <t>Tejido firme</t>
        </is>
      </c>
      <c r="E15" s="16" t="n">
        <v>0.6</v>
      </c>
      <c r="F15" s="14" t="inlineStr">
        <is>
          <t>m</t>
        </is>
      </c>
      <c r="G15" s="17" t="n">
        <v>0</v>
      </c>
      <c r="H15" s="18">
        <f>E15*(1+G15)</f>
        <v/>
      </c>
      <c r="I15" s="15" t="inlineStr">
        <is>
          <t>Soporte para bordar la cruz aparte</t>
        </is>
      </c>
      <c r="J15" s="15" t="inlineStr">
        <is>
          <t>8 Apliques: cruz y paneles DTF</t>
        </is>
      </c>
      <c r="K15" s="14" t="inlineStr"/>
      <c r="L15" s="14" t="inlineStr">
        <is>
          <t>26 oct (F04)</t>
        </is>
      </c>
      <c r="M15" s="15" t="inlineStr"/>
      <c r="N15" s="19" t="n"/>
      <c r="O15" s="20" t="n"/>
      <c r="P15" s="21">
        <f>IF(O15="","",H15*O15)</f>
        <v/>
      </c>
      <c r="Q15" s="19" t="n"/>
    </row>
    <row r="16">
      <c r="A16" s="13" t="inlineStr">
        <is>
          <t>M11</t>
        </is>
      </c>
      <c r="B16" s="14" t="inlineStr">
        <is>
          <t>Soportes</t>
        </is>
      </c>
      <c r="C16" s="15" t="inlineStr">
        <is>
          <t>Cartulina o fieltro fino para realce</t>
        </is>
      </c>
      <c r="D16" s="15" t="inlineStr">
        <is>
          <t>Amarilla u ocre, para que no se transparente</t>
        </is>
      </c>
      <c r="E16" s="16" t="n">
        <v>0.12</v>
      </c>
      <c r="F16" s="14" t="inlineStr">
        <is>
          <t>m²</t>
        </is>
      </c>
      <c r="G16" s="17" t="n">
        <v>0</v>
      </c>
      <c r="H16" s="18">
        <f>E16*(1+G16)</f>
        <v/>
      </c>
      <c r="I16" s="15" t="inlineStr">
        <is>
          <t>Tres capas del realce de la cruz</t>
        </is>
      </c>
      <c r="J16" s="15" t="inlineStr">
        <is>
          <t>8 Apliques: cruz y paneles DTF</t>
        </is>
      </c>
      <c r="K16" s="14" t="inlineStr"/>
      <c r="L16" s="14" t="inlineStr">
        <is>
          <t>26 oct (F04)</t>
        </is>
      </c>
      <c r="M16" s="15" t="inlineStr"/>
      <c r="N16" s="19" t="n"/>
      <c r="O16" s="20" t="n"/>
      <c r="P16" s="21">
        <f>IF(O16="","",H16*O16)</f>
        <v/>
      </c>
      <c r="Q16" s="19" t="n"/>
    </row>
    <row r="17">
      <c r="A17" s="13" t="inlineStr">
        <is>
          <t>M12</t>
        </is>
      </c>
      <c r="B17" s="14" t="inlineStr">
        <is>
          <t>Soportes</t>
        </is>
      </c>
      <c r="C17" s="15" t="inlineStr">
        <is>
          <t>Papel de seda</t>
        </is>
      </c>
      <c r="D17" s="15" t="inlineStr">
        <is>
          <t>Pliegos grandes, para unir</t>
        </is>
      </c>
      <c r="E17" s="22" t="n">
        <v>6</v>
      </c>
      <c r="F17" s="14" t="inlineStr">
        <is>
          <t>m</t>
        </is>
      </c>
      <c r="G17" s="17" t="n">
        <v>0</v>
      </c>
      <c r="H17" s="23">
        <f>E17*(1+G17)</f>
        <v/>
      </c>
      <c r="I17" s="15" t="inlineStr">
        <is>
          <t>Dibujo 1:1 del emblema, las azucenas, el horizonte y el degradado</t>
        </is>
      </c>
      <c r="J17" s="15" t="inlineStr"/>
      <c r="K17" s="14" t="inlineStr"/>
      <c r="L17" s="14" t="inlineStr">
        <is>
          <t>21 oct (F01)</t>
        </is>
      </c>
      <c r="M17" s="15" t="inlineStr">
        <is>
          <t>Ya: hace falta para el dibujo 1:1.</t>
        </is>
      </c>
      <c r="N17" s="19" t="n"/>
      <c r="O17" s="20" t="n"/>
      <c r="P17" s="21">
        <f>IF(O17="","",H17*O17)</f>
        <v/>
      </c>
      <c r="Q17" s="19" t="n"/>
    </row>
    <row r="18">
      <c r="A18" s="13" t="inlineStr">
        <is>
          <t>M13</t>
        </is>
      </c>
      <c r="B18" s="14" t="inlineStr">
        <is>
          <t>Hilos y cordones</t>
        </is>
      </c>
      <c r="C18" s="15" t="inlineStr">
        <is>
          <t>Cordón torcido de oro de 2 mm</t>
        </is>
      </c>
      <c r="D18" s="15" t="inlineStr">
        <is>
          <t>Metálico sintético</t>
        </is>
      </c>
      <c r="E18" s="22" t="n">
        <v>32</v>
      </c>
      <c r="F18" s="14" t="inlineStr">
        <is>
          <t>m</t>
        </is>
      </c>
      <c r="G18" s="17" t="n">
        <v>0</v>
      </c>
      <c r="H18" s="23">
        <f>E18*(1+G18)</f>
        <v/>
      </c>
      <c r="I18" s="15" t="inlineStr">
        <is>
          <t>Perfil de la cruz y del ancla, amarra, tallos, hojas, olivo, horizonte, Basílica, Ávila y rayos finos</t>
        </is>
      </c>
      <c r="J18" s="15" t="inlineStr">
        <is>
          <t>7 Bordado directo, 8 Apliques: cruz y paneles DTF, 9 Ancla y amarra</t>
        </is>
      </c>
      <c r="K18" s="14" t="inlineStr">
        <is>
          <t>1</t>
        </is>
      </c>
      <c r="L18" s="14" t="inlineStr">
        <is>
          <t>26 oct (F04)</t>
        </is>
      </c>
      <c r="M18" s="15" t="inlineStr"/>
      <c r="N18" s="19" t="n"/>
      <c r="O18" s="20" t="n"/>
      <c r="P18" s="21">
        <f>IF(O18="","",H18*O18)</f>
        <v/>
      </c>
      <c r="Q18" s="19" t="n"/>
    </row>
    <row r="19">
      <c r="A19" s="13" t="inlineStr">
        <is>
          <t>M14</t>
        </is>
      </c>
      <c r="B19" s="14" t="inlineStr">
        <is>
          <t>Hilos y cordones</t>
        </is>
      </c>
      <c r="C19" s="15" t="inlineStr">
        <is>
          <t>Cordón de oro de 4 mm</t>
        </is>
      </c>
      <c r="D19" s="15" t="inlineStr">
        <is>
          <t>Metálico sintético</t>
        </is>
      </c>
      <c r="E19" s="16" t="n">
        <v>6.5</v>
      </c>
      <c r="F19" s="14" t="inlineStr">
        <is>
          <t>m</t>
        </is>
      </c>
      <c r="G19" s="17" t="n">
        <v>0</v>
      </c>
      <c r="H19" s="18">
        <f>E19*(1+G19)</f>
        <v/>
      </c>
      <c r="I19" s="15" t="inlineStr">
        <is>
          <t>Contorno de los lados y el pie</t>
        </is>
      </c>
      <c r="J19" s="15" t="inlineStr">
        <is>
          <t>11 Orla</t>
        </is>
      </c>
      <c r="K19" s="14" t="inlineStr"/>
      <c r="L19" s="14" t="inlineStr">
        <is>
          <t>10 nov (F15)</t>
        </is>
      </c>
      <c r="M19" s="15" t="inlineStr"/>
      <c r="N19" s="19" t="n"/>
      <c r="O19" s="20" t="n"/>
      <c r="P19" s="21">
        <f>IF(O19="","",H19*O19)</f>
        <v/>
      </c>
      <c r="Q19" s="19" t="n"/>
    </row>
    <row r="20">
      <c r="A20" s="13" t="inlineStr">
        <is>
          <t>M15</t>
        </is>
      </c>
      <c r="B20" s="14" t="inlineStr">
        <is>
          <t>Hilos y cordones</t>
        </is>
      </c>
      <c r="C20" s="15" t="inlineStr">
        <is>
          <t>Cordón de plata de 2 mm</t>
        </is>
      </c>
      <c r="D20" s="15" t="inlineStr">
        <is>
          <t>Metálico sintético</t>
        </is>
      </c>
      <c r="E20" s="22" t="n">
        <v>6</v>
      </c>
      <c r="F20" s="14" t="inlineStr">
        <is>
          <t>m</t>
        </is>
      </c>
      <c r="G20" s="17" t="n">
        <v>0</v>
      </c>
      <c r="H20" s="23">
        <f>E20*(1+G20)</f>
        <v/>
      </c>
      <c r="I20" s="15" t="inlineStr">
        <is>
          <t>Perfil de las crestas</t>
        </is>
      </c>
      <c r="J20" s="15" t="inlineStr">
        <is>
          <t>8 Apliques: cruz y paneles DTF</t>
        </is>
      </c>
      <c r="K20" s="14" t="inlineStr">
        <is>
          <t>2</t>
        </is>
      </c>
      <c r="L20" s="14" t="inlineStr">
        <is>
          <t>26 oct (F04)</t>
        </is>
      </c>
      <c r="M20" s="15" t="inlineStr"/>
      <c r="N20" s="19" t="n"/>
      <c r="O20" s="20" t="n"/>
      <c r="P20" s="21">
        <f>IF(O20="","",H20*O20)</f>
        <v/>
      </c>
      <c r="Q20" s="19" t="n"/>
    </row>
    <row r="21">
      <c r="A21" s="13" t="inlineStr">
        <is>
          <t>M16</t>
        </is>
      </c>
      <c r="B21" s="14" t="inlineStr">
        <is>
          <t>Hilos y cordones</t>
        </is>
      </c>
      <c r="C21" s="15" t="inlineStr">
        <is>
          <t>Cordón marfil de 2 mm</t>
        </is>
      </c>
      <c r="D21" s="15" t="inlineStr">
        <is>
          <t>Satinado</t>
        </is>
      </c>
      <c r="E21" s="22" t="n">
        <v>4</v>
      </c>
      <c r="F21" s="14" t="inlineStr">
        <is>
          <t>m</t>
        </is>
      </c>
      <c r="G21" s="17" t="n">
        <v>0</v>
      </c>
      <c r="H21" s="23">
        <f>E21*(1+G21)</f>
        <v/>
      </c>
      <c r="I21" s="15" t="inlineStr">
        <is>
          <t>Perfil de las azucenas y los capullos</t>
        </is>
      </c>
      <c r="J21" s="15" t="inlineStr">
        <is>
          <t>8 Apliques: cruz y paneles DTF</t>
        </is>
      </c>
      <c r="K21" s="14" t="inlineStr">
        <is>
          <t>2</t>
        </is>
      </c>
      <c r="L21" s="14" t="inlineStr">
        <is>
          <t>26 oct (F04)</t>
        </is>
      </c>
      <c r="M21" s="15" t="inlineStr"/>
      <c r="N21" s="19" t="n"/>
      <c r="O21" s="20" t="n"/>
      <c r="P21" s="21">
        <f>IF(O21="","",H21*O21)</f>
        <v/>
      </c>
      <c r="Q21" s="19" t="n"/>
    </row>
    <row r="22">
      <c r="A22" s="13" t="inlineStr">
        <is>
          <t>M17</t>
        </is>
      </c>
      <c r="B22" s="14" t="inlineStr">
        <is>
          <t>Hilos y cordones</t>
        </is>
      </c>
      <c r="C22" s="15" t="inlineStr">
        <is>
          <t>Cordón de oro viejo de 3 mm</t>
        </is>
      </c>
      <c r="D22" s="15" t="inlineStr">
        <is>
          <t>Metálico sintético, mate</t>
        </is>
      </c>
      <c r="E22" s="16" t="n">
        <v>1.5</v>
      </c>
      <c r="F22" s="14" t="inlineStr">
        <is>
          <t>m</t>
        </is>
      </c>
      <c r="G22" s="17" t="n">
        <v>0</v>
      </c>
      <c r="H22" s="18">
        <f>E22*(1+G22)</f>
        <v/>
      </c>
      <c r="I22" s="15" t="inlineStr">
        <is>
          <t>Ribete del arranque</t>
        </is>
      </c>
      <c r="J22" s="15" t="inlineStr">
        <is>
          <t>7 Bordado directo</t>
        </is>
      </c>
      <c r="K22" s="14" t="inlineStr"/>
      <c r="L22" s="14" t="inlineStr">
        <is>
          <t>30 oct (F07)</t>
        </is>
      </c>
      <c r="M22" s="15" t="inlineStr"/>
      <c r="N22" s="19" t="n"/>
      <c r="O22" s="20" t="n"/>
      <c r="P22" s="21">
        <f>IF(O22="","",H22*O22)</f>
        <v/>
      </c>
      <c r="Q22" s="19" t="n"/>
    </row>
    <row r="23">
      <c r="A23" s="13" t="inlineStr">
        <is>
          <t>M18</t>
        </is>
      </c>
      <c r="B23" s="14" t="inlineStr">
        <is>
          <t>Hilos y cordones</t>
        </is>
      </c>
      <c r="C23" s="15" t="inlineStr">
        <is>
          <t>Cordón champán de 2 mm</t>
        </is>
      </c>
      <c r="D23" s="15" t="inlineStr">
        <is>
          <t>Metálico sintético</t>
        </is>
      </c>
      <c r="E23" s="16" t="n">
        <v>1.5</v>
      </c>
      <c r="F23" s="14" t="inlineStr">
        <is>
          <t>m</t>
        </is>
      </c>
      <c r="G23" s="17" t="n">
        <v>0</v>
      </c>
      <c r="H23" s="18">
        <f>E23*(1+G23)</f>
        <v/>
      </c>
      <c r="I23" s="15" t="inlineStr">
        <is>
          <t>Ribete del arranque</t>
        </is>
      </c>
      <c r="J23" s="15" t="inlineStr">
        <is>
          <t>7 Bordado directo</t>
        </is>
      </c>
      <c r="K23" s="14" t="inlineStr"/>
      <c r="L23" s="14" t="inlineStr">
        <is>
          <t>30 oct (F07)</t>
        </is>
      </c>
      <c r="M23" s="15" t="inlineStr"/>
      <c r="N23" s="19" t="n"/>
      <c r="O23" s="20" t="n"/>
      <c r="P23" s="21">
        <f>IF(O23="","",H23*O23)</f>
        <v/>
      </c>
      <c r="Q23" s="19" t="n"/>
    </row>
    <row r="24">
      <c r="A24" s="13" t="inlineStr">
        <is>
          <t>M19</t>
        </is>
      </c>
      <c r="B24" s="14" t="inlineStr">
        <is>
          <t>Hilos y cordones</t>
        </is>
      </c>
      <c r="C24" s="15" t="inlineStr">
        <is>
          <t>Hilo para hilos tendidos e hilo plano tipo hojilla</t>
        </is>
      </c>
      <c r="D24" s="15" t="inlineStr">
        <is>
          <t>Oro viejo y oro, lámina sobre alma de poliéster</t>
        </is>
      </c>
      <c r="E24" s="22" t="n">
        <v>5</v>
      </c>
      <c r="F24" s="14" t="inlineStr">
        <is>
          <t>conos</t>
        </is>
      </c>
      <c r="G24" s="17" t="n">
        <v>0</v>
      </c>
      <c r="H24" s="23">
        <f>E24*(1+G24)</f>
        <v/>
      </c>
      <c r="I24" s="15" t="inlineStr">
        <is>
          <t>Cruz, rayos, sol, camino de luz y Basílica</t>
        </is>
      </c>
      <c r="J24" s="15" t="inlineStr">
        <is>
          <t>7 Bordado directo, 8 Apliques: cruz y paneles DTF</t>
        </is>
      </c>
      <c r="K24" s="14" t="inlineStr">
        <is>
          <t>7</t>
        </is>
      </c>
      <c r="L24" s="14" t="inlineStr">
        <is>
          <t>26 oct (F04)</t>
        </is>
      </c>
      <c r="M24" s="15" t="inlineStr"/>
      <c r="N24" s="19" t="n"/>
      <c r="O24" s="20" t="n"/>
      <c r="P24" s="21">
        <f>IF(O24="","",H24*O24)</f>
        <v/>
      </c>
      <c r="Q24" s="19" t="n"/>
    </row>
    <row r="25">
      <c r="A25" s="13" t="inlineStr">
        <is>
          <t>M20</t>
        </is>
      </c>
      <c r="B25" s="14" t="inlineStr">
        <is>
          <t>Hilos y cordones</t>
        </is>
      </c>
      <c r="C25" s="15" t="inlineStr">
        <is>
          <t>Hilo metalizado azul Capri</t>
        </is>
      </c>
      <c r="D25" s="15" t="inlineStr">
        <is>
          <t>Para couching</t>
        </is>
      </c>
      <c r="E25" s="22" t="n">
        <v>2</v>
      </c>
      <c r="F25" s="14" t="inlineStr">
        <is>
          <t>conos</t>
        </is>
      </c>
      <c r="G25" s="17" t="n">
        <v>0</v>
      </c>
      <c r="H25" s="23">
        <f>E25*(1+G25)</f>
        <v/>
      </c>
      <c r="I25" s="15" t="inlineStr">
        <is>
          <t>Líneas de las olas</t>
        </is>
      </c>
      <c r="J25" s="15" t="inlineStr">
        <is>
          <t>7 Bordado directo</t>
        </is>
      </c>
      <c r="K25" s="14" t="inlineStr"/>
      <c r="L25" s="14" t="inlineStr">
        <is>
          <t>30 oct (F07)</t>
        </is>
      </c>
      <c r="M25" s="15" t="inlineStr"/>
      <c r="N25" s="19" t="n"/>
      <c r="O25" s="20" t="n"/>
      <c r="P25" s="21">
        <f>IF(O25="","",H25*O25)</f>
        <v/>
      </c>
      <c r="Q25" s="19" t="n"/>
    </row>
    <row r="26">
      <c r="A26" s="13" t="inlineStr">
        <is>
          <t>M21</t>
        </is>
      </c>
      <c r="B26" s="14" t="inlineStr">
        <is>
          <t>Hilos y cordones</t>
        </is>
      </c>
      <c r="C26" s="15" t="inlineStr">
        <is>
          <t>Hilo metalizado aguamarina</t>
        </is>
      </c>
      <c r="D26" s="15" t="inlineStr">
        <is>
          <t>Para couching</t>
        </is>
      </c>
      <c r="E26" s="22" t="n">
        <v>1</v>
      </c>
      <c r="F26" s="14" t="inlineStr">
        <is>
          <t>cono</t>
        </is>
      </c>
      <c r="G26" s="17" t="n">
        <v>0</v>
      </c>
      <c r="H26" s="23">
        <f>E26*(1+G26)</f>
        <v/>
      </c>
      <c r="I26" s="15" t="inlineStr">
        <is>
          <t>Ondas del Lago</t>
        </is>
      </c>
      <c r="J26" s="15" t="inlineStr">
        <is>
          <t>7 Bordado directo</t>
        </is>
      </c>
      <c r="K26" s="14" t="inlineStr"/>
      <c r="L26" s="14" t="inlineStr">
        <is>
          <t>30 oct (F07)</t>
        </is>
      </c>
      <c r="M26" s="15" t="inlineStr"/>
      <c r="N26" s="19" t="n"/>
      <c r="O26" s="20" t="n"/>
      <c r="P26" s="21">
        <f>IF(O26="","",H26*O26)</f>
        <v/>
      </c>
      <c r="Q26" s="19" t="n"/>
    </row>
    <row r="27">
      <c r="A27" s="13" t="inlineStr">
        <is>
          <t>M22</t>
        </is>
      </c>
      <c r="B27" s="14" t="inlineStr">
        <is>
          <t>Hilos y cordones</t>
        </is>
      </c>
      <c r="C27" s="15" t="inlineStr">
        <is>
          <t>Canutillo de oro liso y rizado</t>
        </is>
      </c>
      <c r="D27" s="15" t="inlineStr">
        <is>
          <t>Metálico</t>
        </is>
      </c>
      <c r="E27" s="22" t="n">
        <v>40</v>
      </c>
      <c r="F27" s="14" t="inlineStr">
        <is>
          <t>g</t>
        </is>
      </c>
      <c r="G27" s="17" t="n">
        <v>0</v>
      </c>
      <c r="H27" s="23">
        <f>E27*(1+G27)</f>
        <v/>
      </c>
      <c r="I27" s="15" t="inlineStr">
        <is>
          <t>Cruz y estambres</t>
        </is>
      </c>
      <c r="J27" s="15" t="inlineStr">
        <is>
          <t>8 Apliques: cruz y paneles DTF</t>
        </is>
      </c>
      <c r="K27" s="14" t="inlineStr"/>
      <c r="L27" s="14" t="inlineStr">
        <is>
          <t>26 oct (F04)</t>
        </is>
      </c>
      <c r="M27" s="15" t="inlineStr"/>
      <c r="N27" s="19" t="n"/>
      <c r="O27" s="20" t="n"/>
      <c r="P27" s="21">
        <f>IF(O27="","",H27*O27)</f>
        <v/>
      </c>
      <c r="Q27" s="19" t="n"/>
    </row>
    <row r="28">
      <c r="A28" s="13" t="inlineStr">
        <is>
          <t>M23</t>
        </is>
      </c>
      <c r="B28" s="14" t="inlineStr">
        <is>
          <t>Hilos y cordones</t>
        </is>
      </c>
      <c r="C28" s="15" t="inlineStr">
        <is>
          <t>Hilos de fijación y de pedrería</t>
        </is>
      </c>
      <c r="D28" s="15" t="inlineStr">
        <is>
          <t>Poliéster oro, marfil y verde; hilo encerado tipo Nymo</t>
        </is>
      </c>
      <c r="E28" s="22" t="n">
        <v>1</v>
      </c>
      <c r="F28" s="14" t="inlineStr">
        <is>
          <t>surtido</t>
        </is>
      </c>
      <c r="G28" s="17" t="n">
        <v>0</v>
      </c>
      <c r="H28" s="23">
        <f>E28*(1+G28)</f>
        <v/>
      </c>
      <c r="I28" s="15" t="inlineStr">
        <is>
          <t>Fijar cordones, apliques, piedras y perlas</t>
        </is>
      </c>
      <c r="J28" s="15" t="inlineStr">
        <is>
          <t>7 Bordado directo, 9 Ancla y amarra, 10 Degradado de pedrería</t>
        </is>
      </c>
      <c r="K28" s="14" t="inlineStr">
        <is>
          <t>1, 3</t>
        </is>
      </c>
      <c r="L28" s="14" t="inlineStr">
        <is>
          <t>30 oct (F07)</t>
        </is>
      </c>
      <c r="M28" s="15" t="inlineStr"/>
      <c r="N28" s="19" t="n"/>
      <c r="O28" s="20" t="n"/>
      <c r="P28" s="21">
        <f>IF(O28="","",H28*O28)</f>
        <v/>
      </c>
      <c r="Q28" s="19" t="n"/>
    </row>
    <row r="29">
      <c r="A29" s="13" t="inlineStr">
        <is>
          <t>S12</t>
        </is>
      </c>
      <c r="B29" s="14" t="inlineStr">
        <is>
          <t>Piedras</t>
        </is>
      </c>
      <c r="C29" s="15" t="inlineStr">
        <is>
          <t>Rosa montada SS12</t>
        </is>
      </c>
      <c r="D29" s="15" t="inlineStr">
        <is>
          <t>Champán 37, cristal 15</t>
        </is>
      </c>
      <c r="E29" s="22" t="n">
        <v>52</v>
      </c>
      <c r="F29" s="14" t="inlineStr">
        <is>
          <t>u</t>
        </is>
      </c>
      <c r="G29" s="24">
        <f>$C$3</f>
        <v/>
      </c>
      <c r="H29" s="23">
        <f>ROUNDUP(E29*(1+G29),0)</f>
        <v/>
      </c>
      <c r="I29" s="15" t="inlineStr">
        <is>
          <t>Tramos 4 y 5</t>
        </is>
      </c>
      <c r="J29" s="15" t="inlineStr">
        <is>
          <t>10 Degradado de pedrería</t>
        </is>
      </c>
      <c r="K29" s="14" t="inlineStr">
        <is>
          <t>1, 3, 7</t>
        </is>
      </c>
      <c r="L29" s="14" t="inlineStr">
        <is>
          <t>6 nov (F13)</t>
        </is>
      </c>
      <c r="M29" s="15" t="inlineStr"/>
      <c r="N29" s="19" t="n"/>
      <c r="O29" s="20" t="n"/>
      <c r="P29" s="21">
        <f>IF(O29="","",H29*O29)</f>
        <v/>
      </c>
      <c r="Q29" s="19" t="n"/>
    </row>
    <row r="30">
      <c r="A30" s="13" t="inlineStr">
        <is>
          <t>S16</t>
        </is>
      </c>
      <c r="B30" s="14" t="inlineStr">
        <is>
          <t>Piedras</t>
        </is>
      </c>
      <c r="C30" s="15" t="inlineStr">
        <is>
          <t>Rosa montada SS16</t>
        </is>
      </c>
      <c r="D30" s="15" t="inlineStr">
        <is>
          <t>Champán 295, aguamarina 40, cristal 35</t>
        </is>
      </c>
      <c r="E30" s="22" t="n">
        <v>370</v>
      </c>
      <c r="F30" s="14" t="inlineStr">
        <is>
          <t>u</t>
        </is>
      </c>
      <c r="G30" s="24">
        <f>$C$3</f>
        <v/>
      </c>
      <c r="H30" s="23">
        <f>ROUNDUP(E30*(1+G30),0)</f>
        <v/>
      </c>
      <c r="I30" s="15" t="inlineStr">
        <is>
          <t>Ancla y tramos 3 y 4</t>
        </is>
      </c>
      <c r="J30" s="15" t="inlineStr">
        <is>
          <t>9 Ancla y amarra, 10 Degradado de pedrería</t>
        </is>
      </c>
      <c r="K30" s="14" t="inlineStr">
        <is>
          <t>1, 3, 7</t>
        </is>
      </c>
      <c r="L30" s="14" t="inlineStr">
        <is>
          <t>3 nov (F09)</t>
        </is>
      </c>
      <c r="M30" s="15" t="inlineStr"/>
      <c r="N30" s="19" t="n"/>
      <c r="O30" s="20" t="n"/>
      <c r="P30" s="21">
        <f>IF(O30="","",H30*O30)</f>
        <v/>
      </c>
      <c r="Q30" s="19" t="n"/>
    </row>
    <row r="31">
      <c r="A31" s="13" t="inlineStr">
        <is>
          <t>S20</t>
        </is>
      </c>
      <c r="B31" s="14" t="inlineStr">
        <is>
          <t>Piedras</t>
        </is>
      </c>
      <c r="C31" s="15" t="inlineStr">
        <is>
          <t>Rosa montada SS20</t>
        </is>
      </c>
      <c r="D31" s="15" t="inlineStr">
        <is>
          <t>Aguamarina 130, cristal 90, champán 60, Capri 40</t>
        </is>
      </c>
      <c r="E31" s="22" t="n">
        <v>320</v>
      </c>
      <c r="F31" s="14" t="inlineStr">
        <is>
          <t>u</t>
        </is>
      </c>
      <c r="G31" s="24">
        <f>$C$3</f>
        <v/>
      </c>
      <c r="H31" s="23">
        <f>ROUNDUP(E31*(1+G31),0)</f>
        <v/>
      </c>
      <c r="I31" s="15" t="inlineStr">
        <is>
          <t>Uñas del ancla y tramos 2 y 3</t>
        </is>
      </c>
      <c r="J31" s="15" t="inlineStr">
        <is>
          <t>9 Ancla y amarra, 10 Degradado de pedrería</t>
        </is>
      </c>
      <c r="K31" s="14" t="inlineStr">
        <is>
          <t>1, 3, 7</t>
        </is>
      </c>
      <c r="L31" s="14" t="inlineStr">
        <is>
          <t>3 nov (F09)</t>
        </is>
      </c>
      <c r="M31" s="15" t="inlineStr"/>
      <c r="N31" s="19" t="n"/>
      <c r="O31" s="20" t="n"/>
      <c r="P31" s="21">
        <f>IF(O31="","",H31*O31)</f>
        <v/>
      </c>
      <c r="Q31" s="19" t="n"/>
    </row>
    <row r="32">
      <c r="A32" s="13" t="inlineStr">
        <is>
          <t>S30</t>
        </is>
      </c>
      <c r="B32" s="14" t="inlineStr">
        <is>
          <t>Piedras</t>
        </is>
      </c>
      <c r="C32" s="15" t="inlineStr">
        <is>
          <t>Rosa montada SS30</t>
        </is>
      </c>
      <c r="D32" s="15" t="inlineStr">
        <is>
          <t>Capri 150, aguamarina 110, cristal 80</t>
        </is>
      </c>
      <c r="E32" s="22" t="n">
        <v>340</v>
      </c>
      <c r="F32" s="14" t="inlineStr">
        <is>
          <t>u</t>
        </is>
      </c>
      <c r="G32" s="24">
        <f>$C$3</f>
        <v/>
      </c>
      <c r="H32" s="23">
        <f>ROUNDUP(E32*(1+G32),0)</f>
        <v/>
      </c>
      <c r="I32" s="15" t="inlineStr">
        <is>
          <t>Tramos 1 y 2</t>
        </is>
      </c>
      <c r="J32" s="15" t="inlineStr">
        <is>
          <t>10 Degradado de pedrería</t>
        </is>
      </c>
      <c r="K32" s="14" t="inlineStr">
        <is>
          <t>1, 3, 7</t>
        </is>
      </c>
      <c r="L32" s="14" t="inlineStr">
        <is>
          <t>6 nov (F13)</t>
        </is>
      </c>
      <c r="M32" s="15" t="inlineStr"/>
      <c r="N32" s="19" t="n"/>
      <c r="O32" s="20" t="n"/>
      <c r="P32" s="21">
        <f>IF(O32="","",H32*O32)</f>
        <v/>
      </c>
      <c r="Q32" s="19" t="n"/>
    </row>
    <row r="33">
      <c r="A33" s="13" t="inlineStr">
        <is>
          <t>S40</t>
        </is>
      </c>
      <c r="B33" s="14" t="inlineStr">
        <is>
          <t>Piedras</t>
        </is>
      </c>
      <c r="C33" s="15" t="inlineStr">
        <is>
          <t>Rosa montada SS40</t>
        </is>
      </c>
      <c r="D33" s="15" t="inlineStr">
        <is>
          <t>Capri 100, aguamarina 60</t>
        </is>
      </c>
      <c r="E33" s="22" t="n">
        <v>160</v>
      </c>
      <c r="F33" s="14" t="inlineStr">
        <is>
          <t>u</t>
        </is>
      </c>
      <c r="G33" s="24">
        <f>$C$3</f>
        <v/>
      </c>
      <c r="H33" s="23">
        <f>ROUNDUP(E33*(1+G33),0)</f>
        <v/>
      </c>
      <c r="I33" s="15" t="inlineStr">
        <is>
          <t>Pavé</t>
        </is>
      </c>
      <c r="J33" s="15" t="inlineStr">
        <is>
          <t>10 Degradado de pedrería</t>
        </is>
      </c>
      <c r="K33" s="14" t="inlineStr">
        <is>
          <t>1, 3, 7</t>
        </is>
      </c>
      <c r="L33" s="14" t="inlineStr">
        <is>
          <t>6 nov (F13)</t>
        </is>
      </c>
      <c r="M33" s="15" t="inlineStr"/>
      <c r="N33" s="19" t="n"/>
      <c r="O33" s="20" t="n"/>
      <c r="P33" s="21">
        <f>IF(O33="","",H33*O33)</f>
        <v/>
      </c>
      <c r="Q33" s="19" t="n"/>
    </row>
    <row r="34">
      <c r="A34" s="13" t="inlineStr">
        <is>
          <t>C08</t>
        </is>
      </c>
      <c r="B34" s="14" t="inlineStr">
        <is>
          <t>Piedras</t>
        </is>
      </c>
      <c r="C34" s="15" t="inlineStr">
        <is>
          <t>Chatón de 8 mm en garras</t>
        </is>
      </c>
      <c r="D34" s="15" t="inlineStr">
        <is>
          <t>Aguamarina 6, cristal 6, champán 2</t>
        </is>
      </c>
      <c r="E34" s="22" t="n">
        <v>14</v>
      </c>
      <c r="F34" s="14" t="inlineStr">
        <is>
          <t>u</t>
        </is>
      </c>
      <c r="G34" s="24">
        <f>$C$3</f>
        <v/>
      </c>
      <c r="H34" s="23">
        <f>ROUNDUP(E34*(1+G34),0)</f>
        <v/>
      </c>
      <c r="I34" s="15" t="inlineStr">
        <is>
          <t>Puntas de las uñas y tramo 2</t>
        </is>
      </c>
      <c r="J34" s="15" t="inlineStr">
        <is>
          <t>9 Ancla y amarra, 10 Degradado de pedrería</t>
        </is>
      </c>
      <c r="K34" s="14" t="inlineStr">
        <is>
          <t>1, 3, 7</t>
        </is>
      </c>
      <c r="L34" s="14" t="inlineStr">
        <is>
          <t>3 nov (F09)</t>
        </is>
      </c>
      <c r="M34" s="15" t="inlineStr"/>
      <c r="N34" s="19" t="n"/>
      <c r="O34" s="20" t="n"/>
      <c r="P34" s="21">
        <f>IF(O34="","",H34*O34)</f>
        <v/>
      </c>
      <c r="Q34" s="19" t="n"/>
    </row>
    <row r="35">
      <c r="A35" s="13" t="inlineStr">
        <is>
          <t>C10</t>
        </is>
      </c>
      <c r="B35" s="14" t="inlineStr">
        <is>
          <t>Piedras</t>
        </is>
      </c>
      <c r="C35" s="15" t="inlineStr">
        <is>
          <t>Chatón de 10 mm en garras</t>
        </is>
      </c>
      <c r="D35" s="15" t="inlineStr">
        <is>
          <t>Capri 26, aguamarina 18, champán 1</t>
        </is>
      </c>
      <c r="E35" s="22" t="n">
        <v>45</v>
      </c>
      <c r="F35" s="14" t="inlineStr">
        <is>
          <t>u</t>
        </is>
      </c>
      <c r="G35" s="24">
        <f>$C$3</f>
        <v/>
      </c>
      <c r="H35" s="23">
        <f>ROUNDUP(E35*(1+G35),0)</f>
        <v/>
      </c>
      <c r="I35" s="15" t="inlineStr">
        <is>
          <t>Punta del ancla y pavé</t>
        </is>
      </c>
      <c r="J35" s="15" t="inlineStr">
        <is>
          <t>9 Ancla y amarra, 10 Degradado de pedrería</t>
        </is>
      </c>
      <c r="K35" s="14" t="inlineStr">
        <is>
          <t>1, 3, 7</t>
        </is>
      </c>
      <c r="L35" s="14" t="inlineStr">
        <is>
          <t>3 nov (F09)</t>
        </is>
      </c>
      <c r="M35" s="15" t="inlineStr"/>
      <c r="N35" s="19" t="n"/>
      <c r="O35" s="20" t="n"/>
      <c r="P35" s="21">
        <f>IF(O35="","",H35*O35)</f>
        <v/>
      </c>
      <c r="Q35" s="19" t="n"/>
    </row>
    <row r="36">
      <c r="A36" s="13" t="inlineStr">
        <is>
          <t>O13</t>
        </is>
      </c>
      <c r="B36" s="14" t="inlineStr">
        <is>
          <t>Piedras</t>
        </is>
      </c>
      <c r="C36" s="15" t="inlineStr">
        <is>
          <t>Óvalo facetado o cabujón de 13 × 18 mm en garras</t>
        </is>
      </c>
      <c r="D36" s="15" t="inlineStr">
        <is>
          <t>Capri 14, aguamarina 8</t>
        </is>
      </c>
      <c r="E36" s="22" t="n">
        <v>22</v>
      </c>
      <c r="F36" s="14" t="inlineStr">
        <is>
          <t>u</t>
        </is>
      </c>
      <c r="G36" s="24">
        <f>$C$3</f>
        <v/>
      </c>
      <c r="H36" s="23">
        <f>ROUNDUP(E36*(1+G36),0)</f>
        <v/>
      </c>
      <c r="I36" s="15" t="inlineStr">
        <is>
          <t>Pavé</t>
        </is>
      </c>
      <c r="J36" s="15" t="inlineStr">
        <is>
          <t>10 Degradado de pedrería</t>
        </is>
      </c>
      <c r="K36" s="14" t="inlineStr">
        <is>
          <t>1, 3, 7</t>
        </is>
      </c>
      <c r="L36" s="14" t="inlineStr">
        <is>
          <t>6 nov (F13)</t>
        </is>
      </c>
      <c r="M36" s="15" t="inlineStr"/>
      <c r="N36" s="19" t="n"/>
      <c r="O36" s="20" t="n"/>
      <c r="P36" s="21">
        <f>IF(O36="","",H36*O36)</f>
        <v/>
      </c>
      <c r="Q36" s="19" t="n"/>
    </row>
    <row r="37">
      <c r="A37" s="13" t="inlineStr">
        <is>
          <t>P08</t>
        </is>
      </c>
      <c r="B37" s="14" t="inlineStr">
        <is>
          <t>Perlas</t>
        </is>
      </c>
      <c r="C37" s="15" t="inlineStr">
        <is>
          <t>Perla de cristal crema de 8 mm</t>
        </is>
      </c>
      <c r="D37" s="15" t="inlineStr">
        <is>
          <t>Nacarada, con taladro</t>
        </is>
      </c>
      <c r="E37" s="22" t="n">
        <v>55</v>
      </c>
      <c r="F37" s="14" t="inlineStr">
        <is>
          <t>u</t>
        </is>
      </c>
      <c r="G37" s="24">
        <f>$C$3</f>
        <v/>
      </c>
      <c r="H37" s="23">
        <f>ROUNDUP(E37*(1+G37),0)</f>
        <v/>
      </c>
      <c r="I37" s="15" t="inlineStr">
        <is>
          <t>Amarra 1, pavé 36, orla del pie 18</t>
        </is>
      </c>
      <c r="J37" s="15" t="inlineStr">
        <is>
          <t>9 Ancla y amarra, 10 Degradado de pedrería, 11 Orla</t>
        </is>
      </c>
      <c r="K37" s="14" t="inlineStr">
        <is>
          <t>1, 3, 7</t>
        </is>
      </c>
      <c r="L37" s="14" t="inlineStr">
        <is>
          <t>3 nov (F09)</t>
        </is>
      </c>
      <c r="M37" s="15" t="inlineStr"/>
      <c r="N37" s="19" t="n"/>
      <c r="O37" s="20" t="n"/>
      <c r="P37" s="21">
        <f>IF(O37="","",H37*O37)</f>
        <v/>
      </c>
      <c r="Q37" s="19" t="n"/>
    </row>
    <row r="38">
      <c r="A38" s="13" t="inlineStr">
        <is>
          <t>P06</t>
        </is>
      </c>
      <c r="B38" s="14" t="inlineStr">
        <is>
          <t>Perlas</t>
        </is>
      </c>
      <c r="C38" s="15" t="inlineStr">
        <is>
          <t>Perla de cristal crema de 6 mm</t>
        </is>
      </c>
      <c r="D38" s="15" t="inlineStr">
        <is>
          <t>Nacarada, con taladro</t>
        </is>
      </c>
      <c r="E38" s="22" t="n">
        <v>198</v>
      </c>
      <c r="F38" s="14" t="inlineStr">
        <is>
          <t>u</t>
        </is>
      </c>
      <c r="G38" s="24">
        <f>$C$3</f>
        <v/>
      </c>
      <c r="H38" s="23">
        <f>ROUNDUP(E38*(1+G38),0)</f>
        <v/>
      </c>
      <c r="I38" s="15" t="inlineStr">
        <is>
          <t>Amarra 10, olivo 12, tramo 2 40, pavé 110, orla de los lados 26</t>
        </is>
      </c>
      <c r="J38" s="15" t="inlineStr">
        <is>
          <t>9 Ancla y amarra, 10 Degradado de pedrería, 11 Orla</t>
        </is>
      </c>
      <c r="K38" s="14" t="inlineStr">
        <is>
          <t>1, 3, 7</t>
        </is>
      </c>
      <c r="L38" s="14" t="inlineStr">
        <is>
          <t>3 nov (F09)</t>
        </is>
      </c>
      <c r="M38" s="15" t="inlineStr"/>
      <c r="N38" s="19" t="n"/>
      <c r="O38" s="20" t="n"/>
      <c r="P38" s="21">
        <f>IF(O38="","",H38*O38)</f>
        <v/>
      </c>
      <c r="Q38" s="19" t="n"/>
    </row>
    <row r="39">
      <c r="A39" s="13" t="inlineStr">
        <is>
          <t>P04</t>
        </is>
      </c>
      <c r="B39" s="14" t="inlineStr">
        <is>
          <t>Perlas</t>
        </is>
      </c>
      <c r="C39" s="15" t="inlineStr">
        <is>
          <t>Perla de cristal crema de 4 mm</t>
        </is>
      </c>
      <c r="D39" s="15" t="inlineStr">
        <is>
          <t>Nacarada, con taladro</t>
        </is>
      </c>
      <c r="E39" s="22" t="n">
        <v>262</v>
      </c>
      <c r="F39" s="14" t="inlineStr">
        <is>
          <t>u</t>
        </is>
      </c>
      <c r="G39" s="24">
        <f>$C$3</f>
        <v/>
      </c>
      <c r="H39" s="23">
        <f>ROUNDUP(E39*(1+G39),0)</f>
        <v/>
      </c>
      <c r="I39" s="15" t="inlineStr">
        <is>
          <t>Ancla 130, tramo 5 12, tramo 4 20, tramo 3 30, tramo 2 70</t>
        </is>
      </c>
      <c r="J39" s="15" t="inlineStr">
        <is>
          <t>9 Ancla y amarra, 10 Degradado de pedrería</t>
        </is>
      </c>
      <c r="K39" s="14" t="inlineStr">
        <is>
          <t>1, 3, 7</t>
        </is>
      </c>
      <c r="L39" s="14" t="inlineStr">
        <is>
          <t>3 nov (F09)</t>
        </is>
      </c>
      <c r="M39" s="15" t="inlineStr"/>
      <c r="N39" s="19" t="n"/>
      <c r="O39" s="20" t="n"/>
      <c r="P39" s="21">
        <f>IF(O39="","",H39*O39)</f>
        <v/>
      </c>
      <c r="Q39" s="19" t="n"/>
    </row>
    <row r="40">
      <c r="A40" s="13" t="inlineStr">
        <is>
          <t>M28</t>
        </is>
      </c>
      <c r="B40" s="14" t="inlineStr">
        <is>
          <t>Galones</t>
        </is>
      </c>
      <c r="C40" s="15" t="inlineStr">
        <is>
          <t>Galón de volutas barrocas doradas de 6–8 cm</t>
        </is>
      </c>
      <c r="D40" s="15" t="inlineStr">
        <is>
          <t>Si no hay volutas, encaje dorado que imite el oleaje</t>
        </is>
      </c>
      <c r="E40" s="22" t="n">
        <v>6</v>
      </c>
      <c r="F40" s="14" t="inlineStr">
        <is>
          <t>m</t>
        </is>
      </c>
      <c r="G40" s="17" t="n">
        <v>0</v>
      </c>
      <c r="H40" s="23">
        <f>E40*(1+G40)</f>
        <v/>
      </c>
      <c r="I40" s="15" t="inlineStr">
        <is>
          <t>Orla de los lados y el pie</t>
        </is>
      </c>
      <c r="J40" s="15" t="inlineStr">
        <is>
          <t>11 Orla</t>
        </is>
      </c>
      <c r="K40" s="14" t="inlineStr"/>
      <c r="L40" s="14" t="inlineStr">
        <is>
          <t>10 nov (F15)</t>
        </is>
      </c>
      <c r="M40" s="15" t="inlineStr"/>
      <c r="N40" s="19" t="n"/>
      <c r="O40" s="20" t="n"/>
      <c r="P40" s="21">
        <f>IF(O40="","",H40*O40)</f>
        <v/>
      </c>
      <c r="Q40" s="19" t="n"/>
    </row>
    <row r="41">
      <c r="A41" s="13" t="inlineStr">
        <is>
          <t>M29</t>
        </is>
      </c>
      <c r="B41" s="14" t="inlineStr">
        <is>
          <t>Galones</t>
        </is>
      </c>
      <c r="C41" s="15" t="inlineStr">
        <is>
          <t>Galón de oro de 1,5 cm</t>
        </is>
      </c>
      <c r="D41" s="15" t="inlineStr">
        <is>
          <t>Liso o de trencilla</t>
        </is>
      </c>
      <c r="E41" s="22" t="n">
        <v>5</v>
      </c>
      <c r="F41" s="14" t="inlineStr">
        <is>
          <t>m</t>
        </is>
      </c>
      <c r="G41" s="17" t="n">
        <v>0</v>
      </c>
      <c r="H41" s="23">
        <f>E41*(1+G41)</f>
        <v/>
      </c>
      <c r="I41" s="15" t="inlineStr">
        <is>
          <t>Vueltas de los bordes</t>
        </is>
      </c>
      <c r="J41" s="15" t="inlineStr">
        <is>
          <t>4 Vueltas de los bordes</t>
        </is>
      </c>
      <c r="K41" s="14" t="inlineStr">
        <is>
          <t>8</t>
        </is>
      </c>
      <c r="L41" s="14" t="inlineStr">
        <is>
          <t>11 nov (F16)</t>
        </is>
      </c>
      <c r="M41" s="15" t="inlineStr"/>
      <c r="N41" s="19" t="n"/>
      <c r="O41" s="20" t="n"/>
      <c r="P41" s="21">
        <f>IF(O41="","",H41*O41)</f>
        <v/>
      </c>
      <c r="Q41" s="19" t="n"/>
    </row>
    <row r="42">
      <c r="A42" s="13" t="inlineStr">
        <is>
          <t>M30</t>
        </is>
      </c>
      <c r="B42" s="14" t="inlineStr">
        <is>
          <t>Sujeción</t>
        </is>
      </c>
      <c r="C42" s="15" t="inlineStr">
        <is>
          <t>Cinta de algodón de 25 mm</t>
        </is>
      </c>
      <c r="D42" s="15" t="inlineStr">
        <is>
          <t>Tejida, firme</t>
        </is>
      </c>
      <c r="E42" s="22" t="n">
        <v>4</v>
      </c>
      <c r="F42" s="14" t="inlineStr">
        <is>
          <t>m</t>
        </is>
      </c>
      <c r="G42" s="17" t="n">
        <v>0</v>
      </c>
      <c r="H42" s="23">
        <f>E42*(1+G42)</f>
        <v/>
      </c>
      <c r="I42" s="15" t="inlineStr">
        <is>
          <t>Arranque y tiras de sujeción</t>
        </is>
      </c>
      <c r="J42" s="15" t="inlineStr">
        <is>
          <t>1 Sujeción</t>
        </is>
      </c>
      <c r="K42" s="14" t="inlineStr"/>
      <c r="L42" s="14" t="inlineStr">
        <is>
          <t>11 nov (F17)</t>
        </is>
      </c>
      <c r="M42" s="15" t="inlineStr"/>
      <c r="N42" s="19" t="n"/>
      <c r="O42" s="20" t="n"/>
      <c r="P42" s="21">
        <f>IF(O42="","",H42*O42)</f>
        <v/>
      </c>
      <c r="Q42" s="19" t="n"/>
    </row>
    <row r="43">
      <c r="A43" s="13" t="inlineStr">
        <is>
          <t>M31</t>
        </is>
      </c>
      <c r="B43" s="14" t="inlineStr">
        <is>
          <t>Sujeción</t>
        </is>
      </c>
      <c r="C43" s="15" t="inlineStr">
        <is>
          <t>Velcro cosible de 25 mm</t>
        </is>
      </c>
      <c r="D43" s="15" t="inlineStr">
        <is>
          <t>Macho y hembra</t>
        </is>
      </c>
      <c r="E43" s="22" t="n">
        <v>1</v>
      </c>
      <c r="F43" s="14" t="inlineStr">
        <is>
          <t>m</t>
        </is>
      </c>
      <c r="G43" s="17" t="n">
        <v>0</v>
      </c>
      <c r="H43" s="23">
        <f>E43*(1+G43)</f>
        <v/>
      </c>
      <c r="I43" s="15" t="inlineStr">
        <is>
          <t>Cierre de las tiras</t>
        </is>
      </c>
      <c r="J43" s="15" t="inlineStr">
        <is>
          <t>1 Sujeción</t>
        </is>
      </c>
      <c r="K43" s="14" t="inlineStr"/>
      <c r="L43" s="14" t="inlineStr">
        <is>
          <t>11 nov (F17)</t>
        </is>
      </c>
      <c r="M43" s="15" t="inlineStr"/>
      <c r="N43" s="19" t="n"/>
      <c r="O43" s="20" t="n"/>
      <c r="P43" s="21">
        <f>IF(O43="","",H43*O43)</f>
        <v/>
      </c>
      <c r="Q43" s="19" t="n"/>
    </row>
    <row r="45">
      <c r="A45" s="13" t="inlineStr">
        <is>
          <t>Piedras</t>
        </is>
      </c>
      <c r="E45" s="23">
        <f>SUMIFS(E6:E43,B6:B43,"Piedras")</f>
        <v/>
      </c>
      <c r="H45" s="23">
        <f>SUMIFS(H6:H43,B6:B43,"Piedras")</f>
        <v/>
      </c>
      <c r="O45" s="13" t="inlineStr">
        <is>
          <t>Total</t>
        </is>
      </c>
      <c r="P45" s="25">
        <f>SUM(P6:P43)</f>
        <v/>
      </c>
    </row>
    <row r="46">
      <c r="A46" s="13" t="inlineStr">
        <is>
          <t>Perlas</t>
        </is>
      </c>
      <c r="E46" s="23">
        <f>SUMIFS(E6:E43,B6:B43,"Perlas")</f>
        <v/>
      </c>
      <c r="H46" s="23">
        <f>SUMIFS(H6:H43,B6:B43,"Perlas")</f>
        <v/>
      </c>
      <c r="O46" s="13" t="inlineStr">
        <is>
          <t>Comprados</t>
        </is>
      </c>
      <c r="P46" s="13">
        <f>COUNTIF(Q6:Q43,"sí")&amp;" de "&amp;COUNTA(A6:A43)</f>
        <v/>
      </c>
    </row>
  </sheetData>
  <autoFilter ref="A5:Q43"/>
  <dataValidations count="1">
    <dataValidation sqref="Q6:Q43" showDropDown="0" showInputMessage="0" showErrorMessage="0" allowBlank="1" type="list">
      <formula1>"sí,no,pedido"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F6652"/>
    <outlinePr summaryBelow="1" summaryRight="1"/>
    <pageSetUpPr fitToPage="1"/>
  </sheetPr>
  <dimension ref="A1:L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0" customWidth="1" min="4" max="4"/>
    <col width="13" customWidth="1" min="5" max="5"/>
    <col width="10" customWidth="1" min="6" max="6"/>
    <col width="3" customWidth="1" min="7" max="7"/>
    <col width="10" customWidth="1" min="8" max="8"/>
    <col width="22" customWidth="1" min="9" max="9"/>
    <col width="12" customWidth="1" min="10" max="10"/>
    <col width="12" customWidth="1" min="11" max="11"/>
    <col width="11" customWidth="1" min="12" max="12"/>
  </cols>
  <sheetData>
    <row r="1">
      <c r="A1" s="1" t="inlineStr">
        <is>
          <t>Piedras y perlas por zona</t>
        </is>
      </c>
    </row>
    <row r="2">
      <c r="A2" s="2" t="inlineStr">
        <is>
          <t>Una fila por zona, talla y tono, contadas sobre el plano de pedrería. A la derecha, los totales y la comprobación contra Compras.</t>
        </is>
      </c>
    </row>
    <row r="4" ht="30" customHeight="1">
      <c r="A4" s="12" t="inlineStr">
        <is>
          <t>Zona</t>
        </is>
      </c>
      <c r="B4" s="12" t="inlineStr">
        <is>
          <t>Franja y (cm)</t>
        </is>
      </c>
      <c r="C4" s="12" t="inlineStr">
        <is>
          <t>Talla</t>
        </is>
      </c>
      <c r="D4" s="12" t="inlineStr">
        <is>
          <t>Código de compra</t>
        </is>
      </c>
      <c r="E4" s="12" t="inlineStr">
        <is>
          <t>Tono</t>
        </is>
      </c>
      <c r="F4" s="12" t="inlineStr">
        <is>
          <t>Cantidad</t>
        </is>
      </c>
      <c r="G4" s="12" t="n"/>
      <c r="H4" s="12" t="inlineStr">
        <is>
          <t>Código</t>
        </is>
      </c>
      <c r="I4" s="12" t="inlineStr">
        <is>
          <t>Talla</t>
        </is>
      </c>
      <c r="J4" s="12" t="inlineStr">
        <is>
          <t>En el plano</t>
        </is>
      </c>
      <c r="K4" s="12" t="inlineStr">
        <is>
          <t>En Compras</t>
        </is>
      </c>
      <c r="L4" s="12" t="inlineStr">
        <is>
          <t>Diferencia</t>
        </is>
      </c>
    </row>
    <row r="5">
      <c r="A5" s="14" t="inlineStr">
        <is>
          <t>Ancla</t>
        </is>
      </c>
      <c r="B5" s="14" t="inlineStr">
        <is>
          <t>74–95</t>
        </is>
      </c>
      <c r="C5" s="14" t="inlineStr">
        <is>
          <t>Rosa montada SS16</t>
        </is>
      </c>
      <c r="D5" s="14" t="inlineStr">
        <is>
          <t>S16</t>
        </is>
      </c>
      <c r="E5" s="14" t="inlineStr">
        <is>
          <t>Champán</t>
        </is>
      </c>
      <c r="F5" s="22" t="n">
        <v>250</v>
      </c>
      <c r="H5" s="13" t="inlineStr">
        <is>
          <t>S12</t>
        </is>
      </c>
      <c r="I5" s="14" t="inlineStr">
        <is>
          <t>Rosa montada SS12</t>
        </is>
      </c>
      <c r="J5" s="26">
        <f>SUMIFS($F$5:$F$48,$D$5:$D$48,H5)</f>
        <v/>
      </c>
      <c r="K5" s="27">
        <f>INDEX(Compras!$E$6:$E$43,MATCH(H5,Compras!$A$6:$A$43,0))</f>
        <v/>
      </c>
      <c r="L5" s="28">
        <f>J5-K5</f>
        <v/>
      </c>
    </row>
    <row r="6">
      <c r="A6" s="14" t="inlineStr">
        <is>
          <t>Ancla</t>
        </is>
      </c>
      <c r="B6" s="14" t="inlineStr">
        <is>
          <t>74–95</t>
        </is>
      </c>
      <c r="C6" s="14" t="inlineStr">
        <is>
          <t>Rosa montada SS20</t>
        </is>
      </c>
      <c r="D6" s="14" t="inlineStr">
        <is>
          <t>S20</t>
        </is>
      </c>
      <c r="E6" s="14" t="inlineStr">
        <is>
          <t>Champán</t>
        </is>
      </c>
      <c r="F6" s="22" t="n">
        <v>60</v>
      </c>
      <c r="H6" s="13" t="inlineStr">
        <is>
          <t>S16</t>
        </is>
      </c>
      <c r="I6" s="14" t="inlineStr">
        <is>
          <t>Rosa montada SS16</t>
        </is>
      </c>
      <c r="J6" s="26">
        <f>SUMIFS($F$5:$F$48,$D$5:$D$48,H6)</f>
        <v/>
      </c>
      <c r="K6" s="27">
        <f>INDEX(Compras!$E$6:$E$43,MATCH(H6,Compras!$A$6:$A$43,0))</f>
        <v/>
      </c>
      <c r="L6" s="28">
        <f>J6-K6</f>
        <v/>
      </c>
    </row>
    <row r="7">
      <c r="A7" s="14" t="inlineStr">
        <is>
          <t>Ancla</t>
        </is>
      </c>
      <c r="B7" s="14" t="inlineStr">
        <is>
          <t>74–95</t>
        </is>
      </c>
      <c r="C7" s="14" t="inlineStr">
        <is>
          <t>Chatón 8 mm</t>
        </is>
      </c>
      <c r="D7" s="14" t="inlineStr">
        <is>
          <t>C08</t>
        </is>
      </c>
      <c r="E7" s="14" t="inlineStr">
        <is>
          <t>Champán</t>
        </is>
      </c>
      <c r="F7" s="22" t="n">
        <v>2</v>
      </c>
      <c r="H7" s="13" t="inlineStr">
        <is>
          <t>S20</t>
        </is>
      </c>
      <c r="I7" s="14" t="inlineStr">
        <is>
          <t>Rosa montada SS20</t>
        </is>
      </c>
      <c r="J7" s="26">
        <f>SUMIFS($F$5:$F$48,$D$5:$D$48,H7)</f>
        <v/>
      </c>
      <c r="K7" s="27">
        <f>INDEX(Compras!$E$6:$E$43,MATCH(H7,Compras!$A$6:$A$43,0))</f>
        <v/>
      </c>
      <c r="L7" s="28">
        <f>J7-K7</f>
        <v/>
      </c>
    </row>
    <row r="8">
      <c r="A8" s="14" t="inlineStr">
        <is>
          <t>Ancla</t>
        </is>
      </c>
      <c r="B8" s="14" t="inlineStr">
        <is>
          <t>74–95</t>
        </is>
      </c>
      <c r="C8" s="14" t="inlineStr">
        <is>
          <t>Chatón 10 mm</t>
        </is>
      </c>
      <c r="D8" s="14" t="inlineStr">
        <is>
          <t>C10</t>
        </is>
      </c>
      <c r="E8" s="14" t="inlineStr">
        <is>
          <t>Champán</t>
        </is>
      </c>
      <c r="F8" s="22" t="n">
        <v>1</v>
      </c>
      <c r="H8" s="13" t="inlineStr">
        <is>
          <t>S30</t>
        </is>
      </c>
      <c r="I8" s="14" t="inlineStr">
        <is>
          <t>Rosa montada SS30</t>
        </is>
      </c>
      <c r="J8" s="26">
        <f>SUMIFS($F$5:$F$48,$D$5:$D$48,H8)</f>
        <v/>
      </c>
      <c r="K8" s="27">
        <f>INDEX(Compras!$E$6:$E$43,MATCH(H8,Compras!$A$6:$A$43,0))</f>
        <v/>
      </c>
      <c r="L8" s="28">
        <f>J8-K8</f>
        <v/>
      </c>
    </row>
    <row r="9">
      <c r="A9" s="14" t="inlineStr">
        <is>
          <t>Ancla</t>
        </is>
      </c>
      <c r="B9" s="14" t="inlineStr">
        <is>
          <t>74–95</t>
        </is>
      </c>
      <c r="C9" s="14" t="inlineStr">
        <is>
          <t>Perla 4 mm</t>
        </is>
      </c>
      <c r="D9" s="14" t="inlineStr">
        <is>
          <t>P04</t>
        </is>
      </c>
      <c r="E9" s="14" t="inlineStr">
        <is>
          <t>Perla crema</t>
        </is>
      </c>
      <c r="F9" s="22" t="n">
        <v>130</v>
      </c>
      <c r="H9" s="13" t="inlineStr">
        <is>
          <t>S40</t>
        </is>
      </c>
      <c r="I9" s="14" t="inlineStr">
        <is>
          <t>Rosa montada SS40</t>
        </is>
      </c>
      <c r="J9" s="26">
        <f>SUMIFS($F$5:$F$48,$D$5:$D$48,H9)</f>
        <v/>
      </c>
      <c r="K9" s="27">
        <f>INDEX(Compras!$E$6:$E$43,MATCH(H9,Compras!$A$6:$A$43,0))</f>
        <v/>
      </c>
      <c r="L9" s="28">
        <f>J9-K9</f>
        <v/>
      </c>
    </row>
    <row r="10">
      <c r="A10" s="14" t="inlineStr">
        <is>
          <t>Amarra</t>
        </is>
      </c>
      <c r="B10" s="14" t="inlineStr">
        <is>
          <t>95–126,5</t>
        </is>
      </c>
      <c r="C10" s="14" t="inlineStr">
        <is>
          <t>Perla 6 mm</t>
        </is>
      </c>
      <c r="D10" s="14" t="inlineStr">
        <is>
          <t>P06</t>
        </is>
      </c>
      <c r="E10" s="14" t="inlineStr">
        <is>
          <t>Perla crema</t>
        </is>
      </c>
      <c r="F10" s="22" t="n">
        <v>10</v>
      </c>
      <c r="H10" s="13" t="inlineStr">
        <is>
          <t>C08</t>
        </is>
      </c>
      <c r="I10" s="14" t="inlineStr">
        <is>
          <t>Chatón 8 mm</t>
        </is>
      </c>
      <c r="J10" s="26">
        <f>SUMIFS($F$5:$F$48,$D$5:$D$48,H10)</f>
        <v/>
      </c>
      <c r="K10" s="27">
        <f>INDEX(Compras!$E$6:$E$43,MATCH(H10,Compras!$A$6:$A$43,0))</f>
        <v/>
      </c>
      <c r="L10" s="28">
        <f>J10-K10</f>
        <v/>
      </c>
    </row>
    <row r="11">
      <c r="A11" s="14" t="inlineStr">
        <is>
          <t>Amarra</t>
        </is>
      </c>
      <c r="B11" s="14" t="inlineStr">
        <is>
          <t>95–126,5</t>
        </is>
      </c>
      <c r="C11" s="14" t="inlineStr">
        <is>
          <t>Perla 8 mm</t>
        </is>
      </c>
      <c r="D11" s="14" t="inlineStr">
        <is>
          <t>P08</t>
        </is>
      </c>
      <c r="E11" s="14" t="inlineStr">
        <is>
          <t>Perla crema</t>
        </is>
      </c>
      <c r="F11" s="22" t="n">
        <v>1</v>
      </c>
      <c r="H11" s="13" t="inlineStr">
        <is>
          <t>C10</t>
        </is>
      </c>
      <c r="I11" s="14" t="inlineStr">
        <is>
          <t>Chatón 10 mm</t>
        </is>
      </c>
      <c r="J11" s="26">
        <f>SUMIFS($F$5:$F$48,$D$5:$D$48,H11)</f>
        <v/>
      </c>
      <c r="K11" s="27">
        <f>INDEX(Compras!$E$6:$E$43,MATCH(H11,Compras!$A$6:$A$43,0))</f>
        <v/>
      </c>
      <c r="L11" s="28">
        <f>J11-K11</f>
        <v/>
      </c>
    </row>
    <row r="12">
      <c r="A12" s="14" t="inlineStr">
        <is>
          <t>Ramitos de olivo</t>
        </is>
      </c>
      <c r="B12" s="14" t="inlineStr">
        <is>
          <t>109–121</t>
        </is>
      </c>
      <c r="C12" s="14" t="inlineStr">
        <is>
          <t>Perla 6 mm</t>
        </is>
      </c>
      <c r="D12" s="14" t="inlineStr">
        <is>
          <t>P06</t>
        </is>
      </c>
      <c r="E12" s="14" t="inlineStr">
        <is>
          <t>Perla crema</t>
        </is>
      </c>
      <c r="F12" s="22" t="n">
        <v>12</v>
      </c>
      <c r="H12" s="13" t="inlineStr">
        <is>
          <t>O13</t>
        </is>
      </c>
      <c r="I12" s="14" t="inlineStr">
        <is>
          <t>Óvalo 13 × 18 mm</t>
        </is>
      </c>
      <c r="J12" s="26">
        <f>SUMIFS($F$5:$F$48,$D$5:$D$48,H12)</f>
        <v/>
      </c>
      <c r="K12" s="27">
        <f>INDEX(Compras!$E$6:$E$43,MATCH(H12,Compras!$A$6:$A$43,0))</f>
        <v/>
      </c>
      <c r="L12" s="28">
        <f>J12-K12</f>
        <v/>
      </c>
    </row>
    <row r="13">
      <c r="A13" s="14" t="inlineStr">
        <is>
          <t>Tramo 5</t>
        </is>
      </c>
      <c r="B13" s="14" t="inlineStr">
        <is>
          <t>106–122</t>
        </is>
      </c>
      <c r="C13" s="14" t="inlineStr">
        <is>
          <t>Rosa montada SS12</t>
        </is>
      </c>
      <c r="D13" s="14" t="inlineStr">
        <is>
          <t>S12</t>
        </is>
      </c>
      <c r="E13" s="14" t="inlineStr">
        <is>
          <t>Champán</t>
        </is>
      </c>
      <c r="F13" s="22" t="n">
        <v>12</v>
      </c>
      <c r="H13" s="13" t="inlineStr">
        <is>
          <t>P04</t>
        </is>
      </c>
      <c r="I13" s="14" t="inlineStr">
        <is>
          <t>Perla 4 mm</t>
        </is>
      </c>
      <c r="J13" s="26">
        <f>SUMIFS($F$5:$F$48,$D$5:$D$48,H13)</f>
        <v/>
      </c>
      <c r="K13" s="27">
        <f>INDEX(Compras!$E$6:$E$43,MATCH(H13,Compras!$A$6:$A$43,0))</f>
        <v/>
      </c>
      <c r="L13" s="28">
        <f>J13-K13</f>
        <v/>
      </c>
    </row>
    <row r="14">
      <c r="A14" s="14" t="inlineStr">
        <is>
          <t>Tramo 5</t>
        </is>
      </c>
      <c r="B14" s="14" t="inlineStr">
        <is>
          <t>106–122</t>
        </is>
      </c>
      <c r="C14" s="14" t="inlineStr">
        <is>
          <t>Perla 4 mm</t>
        </is>
      </c>
      <c r="D14" s="14" t="inlineStr">
        <is>
          <t>P04</t>
        </is>
      </c>
      <c r="E14" s="14" t="inlineStr">
        <is>
          <t>Perla crema</t>
        </is>
      </c>
      <c r="F14" s="22" t="n">
        <v>12</v>
      </c>
      <c r="H14" s="13" t="inlineStr">
        <is>
          <t>P06</t>
        </is>
      </c>
      <c r="I14" s="14" t="inlineStr">
        <is>
          <t>Perla 6 mm</t>
        </is>
      </c>
      <c r="J14" s="26">
        <f>SUMIFS($F$5:$F$48,$D$5:$D$48,H14)</f>
        <v/>
      </c>
      <c r="K14" s="27">
        <f>INDEX(Compras!$E$6:$E$43,MATCH(H14,Compras!$A$6:$A$43,0))</f>
        <v/>
      </c>
      <c r="L14" s="28">
        <f>J14-K14</f>
        <v/>
      </c>
    </row>
    <row r="15">
      <c r="A15" s="14" t="inlineStr">
        <is>
          <t>Tramo 4</t>
        </is>
      </c>
      <c r="B15" s="14" t="inlineStr">
        <is>
          <t>122–140</t>
        </is>
      </c>
      <c r="C15" s="14" t="inlineStr">
        <is>
          <t>Rosa montada SS12</t>
        </is>
      </c>
      <c r="D15" s="14" t="inlineStr">
        <is>
          <t>S12</t>
        </is>
      </c>
      <c r="E15" s="14" t="inlineStr">
        <is>
          <t>Champán</t>
        </is>
      </c>
      <c r="F15" s="22" t="n">
        <v>25</v>
      </c>
      <c r="H15" s="13" t="inlineStr">
        <is>
          <t>P08</t>
        </is>
      </c>
      <c r="I15" s="14" t="inlineStr">
        <is>
          <t>Perla 8 mm</t>
        </is>
      </c>
      <c r="J15" s="26">
        <f>SUMIFS($F$5:$F$48,$D$5:$D$48,H15)</f>
        <v/>
      </c>
      <c r="K15" s="27">
        <f>INDEX(Compras!$E$6:$E$43,MATCH(H15,Compras!$A$6:$A$43,0))</f>
        <v/>
      </c>
      <c r="L15" s="28">
        <f>J15-K15</f>
        <v/>
      </c>
    </row>
    <row r="16">
      <c r="A16" s="14" t="inlineStr">
        <is>
          <t>Tramo 4</t>
        </is>
      </c>
      <c r="B16" s="14" t="inlineStr">
        <is>
          <t>122–140</t>
        </is>
      </c>
      <c r="C16" s="14" t="inlineStr">
        <is>
          <t>Rosa montada SS12</t>
        </is>
      </c>
      <c r="D16" s="14" t="inlineStr">
        <is>
          <t>S12</t>
        </is>
      </c>
      <c r="E16" s="14" t="inlineStr">
        <is>
          <t>Cristal</t>
        </is>
      </c>
      <c r="F16" s="22" t="n">
        <v>15</v>
      </c>
      <c r="I16" s="13" t="inlineStr">
        <is>
          <t>Total</t>
        </is>
      </c>
      <c r="J16" s="23">
        <f>SUM(J5:J15)</f>
        <v/>
      </c>
      <c r="K16" s="23">
        <f>SUM(K5:K15)</f>
        <v/>
      </c>
      <c r="L16" s="29">
        <f>J16-K16</f>
        <v/>
      </c>
    </row>
    <row r="17">
      <c r="A17" s="14" t="inlineStr">
        <is>
          <t>Tramo 4</t>
        </is>
      </c>
      <c r="B17" s="14" t="inlineStr">
        <is>
          <t>122–140</t>
        </is>
      </c>
      <c r="C17" s="14" t="inlineStr">
        <is>
          <t>Rosa montada SS16</t>
        </is>
      </c>
      <c r="D17" s="14" t="inlineStr">
        <is>
          <t>S16</t>
        </is>
      </c>
      <c r="E17" s="14" t="inlineStr">
        <is>
          <t>Champán</t>
        </is>
      </c>
      <c r="F17" s="22" t="n">
        <v>25</v>
      </c>
    </row>
    <row r="18">
      <c r="A18" s="14" t="inlineStr">
        <is>
          <t>Tramo 4</t>
        </is>
      </c>
      <c r="B18" s="14" t="inlineStr">
        <is>
          <t>122–140</t>
        </is>
      </c>
      <c r="C18" s="14" t="inlineStr">
        <is>
          <t>Rosa montada SS16</t>
        </is>
      </c>
      <c r="D18" s="14" t="inlineStr">
        <is>
          <t>S16</t>
        </is>
      </c>
      <c r="E18" s="14" t="inlineStr">
        <is>
          <t>Cristal</t>
        </is>
      </c>
      <c r="F18" s="22" t="n">
        <v>15</v>
      </c>
    </row>
    <row r="19" ht="30" customHeight="1">
      <c r="A19" s="30" t="inlineStr">
        <is>
          <t>Tramo 4</t>
        </is>
      </c>
      <c r="B19" s="30" t="inlineStr">
        <is>
          <t>122–140</t>
        </is>
      </c>
      <c r="C19" s="30" t="inlineStr">
        <is>
          <t>Perla 4 mm</t>
        </is>
      </c>
      <c r="D19" s="30" t="inlineStr">
        <is>
          <t>P04</t>
        </is>
      </c>
      <c r="E19" s="30" t="inlineStr">
        <is>
          <t>Perla crema</t>
        </is>
      </c>
      <c r="F19" s="31" t="n">
        <v>20</v>
      </c>
      <c r="G19" s="12" t="n"/>
      <c r="H19" s="12" t="inlineStr">
        <is>
          <t>Tono</t>
        </is>
      </c>
      <c r="I19" s="12" t="inlineStr"/>
      <c r="J19" s="12" t="inlineStr">
        <is>
          <t>En el plano</t>
        </is>
      </c>
    </row>
    <row r="20">
      <c r="A20" s="14" t="inlineStr">
        <is>
          <t>Tramo 3</t>
        </is>
      </c>
      <c r="B20" s="14" t="inlineStr">
        <is>
          <t>140–158</t>
        </is>
      </c>
      <c r="C20" s="14" t="inlineStr">
        <is>
          <t>Rosa montada SS16</t>
        </is>
      </c>
      <c r="D20" s="14" t="inlineStr">
        <is>
          <t>S16</t>
        </is>
      </c>
      <c r="E20" s="14" t="inlineStr">
        <is>
          <t>Aguamarina</t>
        </is>
      </c>
      <c r="F20" s="22" t="n">
        <v>40</v>
      </c>
      <c r="H20" s="13" t="inlineStr">
        <is>
          <t>Capri</t>
        </is>
      </c>
      <c r="J20" s="26">
        <f>SUMIFS($F$5:$F$48,$E$5:$E$48,H20)</f>
        <v/>
      </c>
    </row>
    <row r="21">
      <c r="A21" s="14" t="inlineStr">
        <is>
          <t>Tramo 3</t>
        </is>
      </c>
      <c r="B21" s="14" t="inlineStr">
        <is>
          <t>140–158</t>
        </is>
      </c>
      <c r="C21" s="14" t="inlineStr">
        <is>
          <t>Rosa montada SS16</t>
        </is>
      </c>
      <c r="D21" s="14" t="inlineStr">
        <is>
          <t>S16</t>
        </is>
      </c>
      <c r="E21" s="14" t="inlineStr">
        <is>
          <t>Champán</t>
        </is>
      </c>
      <c r="F21" s="22" t="n">
        <v>20</v>
      </c>
      <c r="H21" s="13" t="inlineStr">
        <is>
          <t>Aguamarina</t>
        </is>
      </c>
      <c r="J21" s="26">
        <f>SUMIFS($F$5:$F$48,$E$5:$E$48,H21)</f>
        <v/>
      </c>
    </row>
    <row r="22">
      <c r="A22" s="14" t="inlineStr">
        <is>
          <t>Tramo 3</t>
        </is>
      </c>
      <c r="B22" s="14" t="inlineStr">
        <is>
          <t>140–158</t>
        </is>
      </c>
      <c r="C22" s="14" t="inlineStr">
        <is>
          <t>Rosa montada SS16</t>
        </is>
      </c>
      <c r="D22" s="14" t="inlineStr">
        <is>
          <t>S16</t>
        </is>
      </c>
      <c r="E22" s="14" t="inlineStr">
        <is>
          <t>Cristal</t>
        </is>
      </c>
      <c r="F22" s="22" t="n">
        <v>20</v>
      </c>
      <c r="H22" s="13" t="inlineStr">
        <is>
          <t>Cristal</t>
        </is>
      </c>
      <c r="J22" s="26">
        <f>SUMIFS($F$5:$F$48,$E$5:$E$48,H22)</f>
        <v/>
      </c>
    </row>
    <row r="23">
      <c r="A23" s="14" t="inlineStr">
        <is>
          <t>Tramo 3</t>
        </is>
      </c>
      <c r="B23" s="14" t="inlineStr">
        <is>
          <t>140–158</t>
        </is>
      </c>
      <c r="C23" s="14" t="inlineStr">
        <is>
          <t>Rosa montada SS20</t>
        </is>
      </c>
      <c r="D23" s="14" t="inlineStr">
        <is>
          <t>S20</t>
        </is>
      </c>
      <c r="E23" s="14" t="inlineStr">
        <is>
          <t>Aguamarina</t>
        </is>
      </c>
      <c r="F23" s="22" t="n">
        <v>50</v>
      </c>
      <c r="H23" s="13" t="inlineStr">
        <is>
          <t>Champán</t>
        </is>
      </c>
      <c r="J23" s="26">
        <f>SUMIFS($F$5:$F$48,$E$5:$E$48,H23)</f>
        <v/>
      </c>
    </row>
    <row r="24">
      <c r="A24" s="14" t="inlineStr">
        <is>
          <t>Tramo 3</t>
        </is>
      </c>
      <c r="B24" s="14" t="inlineStr">
        <is>
          <t>140–158</t>
        </is>
      </c>
      <c r="C24" s="14" t="inlineStr">
        <is>
          <t>Rosa montada SS20</t>
        </is>
      </c>
      <c r="D24" s="14" t="inlineStr">
        <is>
          <t>S20</t>
        </is>
      </c>
      <c r="E24" s="14" t="inlineStr">
        <is>
          <t>Cristal</t>
        </is>
      </c>
      <c r="F24" s="22" t="n">
        <v>30</v>
      </c>
      <c r="H24" s="13" t="inlineStr">
        <is>
          <t>Perla crema</t>
        </is>
      </c>
      <c r="J24" s="26">
        <f>SUMIFS($F$5:$F$48,$E$5:$E$48,H24)</f>
        <v/>
      </c>
    </row>
    <row r="25">
      <c r="A25" s="14" t="inlineStr">
        <is>
          <t>Tramo 3</t>
        </is>
      </c>
      <c r="B25" s="14" t="inlineStr">
        <is>
          <t>140–158</t>
        </is>
      </c>
      <c r="C25" s="14" t="inlineStr">
        <is>
          <t>Perla 4 mm</t>
        </is>
      </c>
      <c r="D25" s="14" t="inlineStr">
        <is>
          <t>P04</t>
        </is>
      </c>
      <c r="E25" s="14" t="inlineStr">
        <is>
          <t>Perla crema</t>
        </is>
      </c>
      <c r="F25" s="22" t="n">
        <v>30</v>
      </c>
    </row>
    <row r="26">
      <c r="A26" s="14" t="inlineStr">
        <is>
          <t>Tramo 2</t>
        </is>
      </c>
      <c r="B26" s="14" t="inlineStr">
        <is>
          <t>158–176</t>
        </is>
      </c>
      <c r="C26" s="14" t="inlineStr">
        <is>
          <t>Rosa montada SS20</t>
        </is>
      </c>
      <c r="D26" s="14" t="inlineStr">
        <is>
          <t>S20</t>
        </is>
      </c>
      <c r="E26" s="14" t="inlineStr">
        <is>
          <t>Aguamarina</t>
        </is>
      </c>
      <c r="F26" s="22" t="n">
        <v>80</v>
      </c>
    </row>
    <row r="27" ht="30" customHeight="1">
      <c r="A27" s="30" t="inlineStr">
        <is>
          <t>Tramo 2</t>
        </is>
      </c>
      <c r="B27" s="30" t="inlineStr">
        <is>
          <t>158–176</t>
        </is>
      </c>
      <c r="C27" s="30" t="inlineStr">
        <is>
          <t>Rosa montada SS20</t>
        </is>
      </c>
      <c r="D27" s="30" t="inlineStr">
        <is>
          <t>S20</t>
        </is>
      </c>
      <c r="E27" s="30" t="inlineStr">
        <is>
          <t>Capri</t>
        </is>
      </c>
      <c r="F27" s="31" t="n">
        <v>40</v>
      </c>
      <c r="G27" s="12" t="n"/>
      <c r="H27" s="12" t="inlineStr">
        <is>
          <t>Zona</t>
        </is>
      </c>
      <c r="I27" s="12" t="inlineStr">
        <is>
          <t>Franja y (cm)</t>
        </is>
      </c>
      <c r="J27" s="12" t="inlineStr">
        <is>
          <t>Piedras</t>
        </is>
      </c>
      <c r="K27" s="12" t="inlineStr">
        <is>
          <t>Perlas</t>
        </is>
      </c>
    </row>
    <row r="28">
      <c r="A28" s="14" t="inlineStr">
        <is>
          <t>Tramo 2</t>
        </is>
      </c>
      <c r="B28" s="14" t="inlineStr">
        <is>
          <t>158–176</t>
        </is>
      </c>
      <c r="C28" s="14" t="inlineStr">
        <is>
          <t>Rosa montada SS20</t>
        </is>
      </c>
      <c r="D28" s="14" t="inlineStr">
        <is>
          <t>S20</t>
        </is>
      </c>
      <c r="E28" s="14" t="inlineStr">
        <is>
          <t>Cristal</t>
        </is>
      </c>
      <c r="F28" s="22" t="n">
        <v>60</v>
      </c>
      <c r="H28" s="13" t="inlineStr">
        <is>
          <t>Ancla</t>
        </is>
      </c>
      <c r="I28" s="14">
        <f>INDEX($B$5:$B$48,MATCH(H28,$A$5:$A$48,0))</f>
        <v/>
      </c>
      <c r="J28" s="26">
        <f>SUMIFS($F$5:$F$48,$A$5:$A$48,H28)-SUMIFS($F$5:$F$48,$A$5:$A$48,H28,$E$5:$E$48,"Perla crema")</f>
        <v/>
      </c>
      <c r="K28" s="26">
        <f>SUMIFS($F$5:$F$48,$A$5:$A$48,H28,$E$5:$E$48,"Perla crema")</f>
        <v/>
      </c>
    </row>
    <row r="29">
      <c r="A29" s="14" t="inlineStr">
        <is>
          <t>Tramo 2</t>
        </is>
      </c>
      <c r="B29" s="14" t="inlineStr">
        <is>
          <t>158–176</t>
        </is>
      </c>
      <c r="C29" s="14" t="inlineStr">
        <is>
          <t>Rosa montada SS30</t>
        </is>
      </c>
      <c r="D29" s="14" t="inlineStr">
        <is>
          <t>S30</t>
        </is>
      </c>
      <c r="E29" s="14" t="inlineStr">
        <is>
          <t>Aguamarina</t>
        </is>
      </c>
      <c r="F29" s="22" t="n">
        <v>40</v>
      </c>
      <c r="H29" s="13" t="inlineStr">
        <is>
          <t>Amarra</t>
        </is>
      </c>
      <c r="I29" s="14">
        <f>INDEX($B$5:$B$48,MATCH(H29,$A$5:$A$48,0))</f>
        <v/>
      </c>
      <c r="J29" s="26">
        <f>SUMIFS($F$5:$F$48,$A$5:$A$48,H29)-SUMIFS($F$5:$F$48,$A$5:$A$48,H29,$E$5:$E$48,"Perla crema")</f>
        <v/>
      </c>
      <c r="K29" s="26">
        <f>SUMIFS($F$5:$F$48,$A$5:$A$48,H29,$E$5:$E$48,"Perla crema")</f>
        <v/>
      </c>
    </row>
    <row r="30">
      <c r="A30" s="14" t="inlineStr">
        <is>
          <t>Tramo 2</t>
        </is>
      </c>
      <c r="B30" s="14" t="inlineStr">
        <is>
          <t>158–176</t>
        </is>
      </c>
      <c r="C30" s="14" t="inlineStr">
        <is>
          <t>Rosa montada SS30</t>
        </is>
      </c>
      <c r="D30" s="14" t="inlineStr">
        <is>
          <t>S30</t>
        </is>
      </c>
      <c r="E30" s="14" t="inlineStr">
        <is>
          <t>Capri</t>
        </is>
      </c>
      <c r="F30" s="22" t="n">
        <v>40</v>
      </c>
      <c r="H30" s="13" t="inlineStr">
        <is>
          <t>Ramitos de olivo</t>
        </is>
      </c>
      <c r="I30" s="14">
        <f>INDEX($B$5:$B$48,MATCH(H30,$A$5:$A$48,0))</f>
        <v/>
      </c>
      <c r="J30" s="26">
        <f>SUMIFS($F$5:$F$48,$A$5:$A$48,H30)-SUMIFS($F$5:$F$48,$A$5:$A$48,H30,$E$5:$E$48,"Perla crema")</f>
        <v/>
      </c>
      <c r="K30" s="26">
        <f>SUMIFS($F$5:$F$48,$A$5:$A$48,H30,$E$5:$E$48,"Perla crema")</f>
        <v/>
      </c>
    </row>
    <row r="31">
      <c r="A31" s="14" t="inlineStr">
        <is>
          <t>Tramo 2</t>
        </is>
      </c>
      <c r="B31" s="14" t="inlineStr">
        <is>
          <t>158–176</t>
        </is>
      </c>
      <c r="C31" s="14" t="inlineStr">
        <is>
          <t>Rosa montada SS30</t>
        </is>
      </c>
      <c r="D31" s="14" t="inlineStr">
        <is>
          <t>S30</t>
        </is>
      </c>
      <c r="E31" s="14" t="inlineStr">
        <is>
          <t>Cristal</t>
        </is>
      </c>
      <c r="F31" s="22" t="n">
        <v>20</v>
      </c>
      <c r="H31" s="13" t="inlineStr">
        <is>
          <t>Tramo 5</t>
        </is>
      </c>
      <c r="I31" s="14">
        <f>INDEX($B$5:$B$48,MATCH(H31,$A$5:$A$48,0))</f>
        <v/>
      </c>
      <c r="J31" s="26">
        <f>SUMIFS($F$5:$F$48,$A$5:$A$48,H31)-SUMIFS($F$5:$F$48,$A$5:$A$48,H31,$E$5:$E$48,"Perla crema")</f>
        <v/>
      </c>
      <c r="K31" s="26">
        <f>SUMIFS($F$5:$F$48,$A$5:$A$48,H31,$E$5:$E$48,"Perla crema")</f>
        <v/>
      </c>
    </row>
    <row r="32">
      <c r="A32" s="14" t="inlineStr">
        <is>
          <t>Tramo 2</t>
        </is>
      </c>
      <c r="B32" s="14" t="inlineStr">
        <is>
          <t>158–176</t>
        </is>
      </c>
      <c r="C32" s="14" t="inlineStr">
        <is>
          <t>Chatón 8 mm</t>
        </is>
      </c>
      <c r="D32" s="14" t="inlineStr">
        <is>
          <t>C08</t>
        </is>
      </c>
      <c r="E32" s="14" t="inlineStr">
        <is>
          <t>Aguamarina</t>
        </is>
      </c>
      <c r="F32" s="22" t="n">
        <v>6</v>
      </c>
      <c r="H32" s="13" t="inlineStr">
        <is>
          <t>Tramo 4</t>
        </is>
      </c>
      <c r="I32" s="14">
        <f>INDEX($B$5:$B$48,MATCH(H32,$A$5:$A$48,0))</f>
        <v/>
      </c>
      <c r="J32" s="26">
        <f>SUMIFS($F$5:$F$48,$A$5:$A$48,H32)-SUMIFS($F$5:$F$48,$A$5:$A$48,H32,$E$5:$E$48,"Perla crema")</f>
        <v/>
      </c>
      <c r="K32" s="26">
        <f>SUMIFS($F$5:$F$48,$A$5:$A$48,H32,$E$5:$E$48,"Perla crema")</f>
        <v/>
      </c>
    </row>
    <row r="33">
      <c r="A33" s="14" t="inlineStr">
        <is>
          <t>Tramo 2</t>
        </is>
      </c>
      <c r="B33" s="14" t="inlineStr">
        <is>
          <t>158–176</t>
        </is>
      </c>
      <c r="C33" s="14" t="inlineStr">
        <is>
          <t>Chatón 8 mm</t>
        </is>
      </c>
      <c r="D33" s="14" t="inlineStr">
        <is>
          <t>C08</t>
        </is>
      </c>
      <c r="E33" s="14" t="inlineStr">
        <is>
          <t>Cristal</t>
        </is>
      </c>
      <c r="F33" s="22" t="n">
        <v>6</v>
      </c>
      <c r="H33" s="13" t="inlineStr">
        <is>
          <t>Tramo 3</t>
        </is>
      </c>
      <c r="I33" s="14">
        <f>INDEX($B$5:$B$48,MATCH(H33,$A$5:$A$48,0))</f>
        <v/>
      </c>
      <c r="J33" s="26">
        <f>SUMIFS($F$5:$F$48,$A$5:$A$48,H33)-SUMIFS($F$5:$F$48,$A$5:$A$48,H33,$E$5:$E$48,"Perla crema")</f>
        <v/>
      </c>
      <c r="K33" s="26">
        <f>SUMIFS($F$5:$F$48,$A$5:$A$48,H33,$E$5:$E$48,"Perla crema")</f>
        <v/>
      </c>
    </row>
    <row r="34">
      <c r="A34" s="14" t="inlineStr">
        <is>
          <t>Tramo 2</t>
        </is>
      </c>
      <c r="B34" s="14" t="inlineStr">
        <is>
          <t>158–176</t>
        </is>
      </c>
      <c r="C34" s="14" t="inlineStr">
        <is>
          <t>Perla 4 mm</t>
        </is>
      </c>
      <c r="D34" s="14" t="inlineStr">
        <is>
          <t>P04</t>
        </is>
      </c>
      <c r="E34" s="14" t="inlineStr">
        <is>
          <t>Perla crema</t>
        </is>
      </c>
      <c r="F34" s="22" t="n">
        <v>70</v>
      </c>
      <c r="H34" s="13" t="inlineStr">
        <is>
          <t>Tramo 2</t>
        </is>
      </c>
      <c r="I34" s="14">
        <f>INDEX($B$5:$B$48,MATCH(H34,$A$5:$A$48,0))</f>
        <v/>
      </c>
      <c r="J34" s="26">
        <f>SUMIFS($F$5:$F$48,$A$5:$A$48,H34)-SUMIFS($F$5:$F$48,$A$5:$A$48,H34,$E$5:$E$48,"Perla crema")</f>
        <v/>
      </c>
      <c r="K34" s="26">
        <f>SUMIFS($F$5:$F$48,$A$5:$A$48,H34,$E$5:$E$48,"Perla crema")</f>
        <v/>
      </c>
    </row>
    <row r="35">
      <c r="A35" s="14" t="inlineStr">
        <is>
          <t>Tramo 2</t>
        </is>
      </c>
      <c r="B35" s="14" t="inlineStr">
        <is>
          <t>158–176</t>
        </is>
      </c>
      <c r="C35" s="14" t="inlineStr">
        <is>
          <t>Perla 6 mm</t>
        </is>
      </c>
      <c r="D35" s="14" t="inlineStr">
        <is>
          <t>P06</t>
        </is>
      </c>
      <c r="E35" s="14" t="inlineStr">
        <is>
          <t>Perla crema</t>
        </is>
      </c>
      <c r="F35" s="22" t="n">
        <v>40</v>
      </c>
      <c r="H35" s="13" t="inlineStr">
        <is>
          <t>Tramo 1 · pavé</t>
        </is>
      </c>
      <c r="I35" s="14">
        <f>INDEX($B$5:$B$48,MATCH(H35,$A$5:$A$48,0))</f>
        <v/>
      </c>
      <c r="J35" s="26">
        <f>SUMIFS($F$5:$F$48,$A$5:$A$48,H35)-SUMIFS($F$5:$F$48,$A$5:$A$48,H35,$E$5:$E$48,"Perla crema")</f>
        <v/>
      </c>
      <c r="K35" s="26">
        <f>SUMIFS($F$5:$F$48,$A$5:$A$48,H35,$E$5:$E$48,"Perla crema")</f>
        <v/>
      </c>
    </row>
    <row r="36">
      <c r="A36" s="14" t="inlineStr">
        <is>
          <t>Tramo 1 · pavé</t>
        </is>
      </c>
      <c r="B36" s="14" t="inlineStr"/>
      <c r="C36" s="14" t="inlineStr">
        <is>
          <t>Rosa montada SS30</t>
        </is>
      </c>
      <c r="D36" s="14" t="inlineStr">
        <is>
          <t>S30</t>
        </is>
      </c>
      <c r="E36" s="14" t="inlineStr">
        <is>
          <t>Aguamarina</t>
        </is>
      </c>
      <c r="F36" s="22" t="n">
        <v>70</v>
      </c>
      <c r="H36" s="13" t="inlineStr">
        <is>
          <t>Orla</t>
        </is>
      </c>
      <c r="I36" s="14">
        <f>INDEX($B$5:$B$48,MATCH(H36,$A$5:$A$48,0))</f>
        <v/>
      </c>
      <c r="J36" s="26">
        <f>SUMIFS($F$5:$F$48,$A$5:$A$48,H36)-SUMIFS($F$5:$F$48,$A$5:$A$48,H36,$E$5:$E$48,"Perla crema")</f>
        <v/>
      </c>
      <c r="K36" s="26">
        <f>SUMIFS($F$5:$F$48,$A$5:$A$48,H36,$E$5:$E$48,"Perla crema")</f>
        <v/>
      </c>
    </row>
    <row r="37">
      <c r="A37" s="14" t="inlineStr">
        <is>
          <t>Tramo 1 · pavé</t>
        </is>
      </c>
      <c r="B37" s="14" t="inlineStr"/>
      <c r="C37" s="14" t="inlineStr">
        <is>
          <t>Rosa montada SS30</t>
        </is>
      </c>
      <c r="D37" s="14" t="inlineStr">
        <is>
          <t>S30</t>
        </is>
      </c>
      <c r="E37" s="14" t="inlineStr">
        <is>
          <t>Capri</t>
        </is>
      </c>
      <c r="F37" s="22" t="n">
        <v>110</v>
      </c>
      <c r="H37" s="13" t="inlineStr">
        <is>
          <t>Total</t>
        </is>
      </c>
      <c r="J37" s="23">
        <f>SUM(J28:J36)</f>
        <v/>
      </c>
      <c r="K37" s="23">
        <f>SUM(K28:K36)</f>
        <v/>
      </c>
    </row>
    <row r="38">
      <c r="A38" s="14" t="inlineStr">
        <is>
          <t>Tramo 1 · pavé</t>
        </is>
      </c>
      <c r="B38" s="14" t="inlineStr"/>
      <c r="C38" s="14" t="inlineStr">
        <is>
          <t>Rosa montada SS30</t>
        </is>
      </c>
      <c r="D38" s="14" t="inlineStr">
        <is>
          <t>S30</t>
        </is>
      </c>
      <c r="E38" s="14" t="inlineStr">
        <is>
          <t>Cristal</t>
        </is>
      </c>
      <c r="F38" s="22" t="n">
        <v>60</v>
      </c>
    </row>
    <row r="39">
      <c r="A39" s="14" t="inlineStr">
        <is>
          <t>Tramo 1 · pavé</t>
        </is>
      </c>
      <c r="B39" s="14" t="inlineStr"/>
      <c r="C39" s="14" t="inlineStr">
        <is>
          <t>Rosa montada SS40</t>
        </is>
      </c>
      <c r="D39" s="14" t="inlineStr">
        <is>
          <t>S40</t>
        </is>
      </c>
      <c r="E39" s="14" t="inlineStr">
        <is>
          <t>Aguamarina</t>
        </is>
      </c>
      <c r="F39" s="22" t="n">
        <v>60</v>
      </c>
    </row>
    <row r="40">
      <c r="A40" s="14" t="inlineStr">
        <is>
          <t>Tramo 1 · pavé</t>
        </is>
      </c>
      <c r="B40" s="14" t="inlineStr"/>
      <c r="C40" s="14" t="inlineStr">
        <is>
          <t>Rosa montada SS40</t>
        </is>
      </c>
      <c r="D40" s="14" t="inlineStr">
        <is>
          <t>S40</t>
        </is>
      </c>
      <c r="E40" s="14" t="inlineStr">
        <is>
          <t>Capri</t>
        </is>
      </c>
      <c r="F40" s="22" t="n">
        <v>100</v>
      </c>
    </row>
    <row r="41">
      <c r="A41" s="14" t="inlineStr">
        <is>
          <t>Tramo 1 · pavé</t>
        </is>
      </c>
      <c r="B41" s="14" t="inlineStr"/>
      <c r="C41" s="14" t="inlineStr">
        <is>
          <t>Chatón 10 mm</t>
        </is>
      </c>
      <c r="D41" s="14" t="inlineStr">
        <is>
          <t>C10</t>
        </is>
      </c>
      <c r="E41" s="14" t="inlineStr">
        <is>
          <t>Aguamarina</t>
        </is>
      </c>
      <c r="F41" s="22" t="n">
        <v>18</v>
      </c>
    </row>
    <row r="42">
      <c r="A42" s="14" t="inlineStr">
        <is>
          <t>Tramo 1 · pavé</t>
        </is>
      </c>
      <c r="B42" s="14" t="inlineStr"/>
      <c r="C42" s="14" t="inlineStr">
        <is>
          <t>Chatón 10 mm</t>
        </is>
      </c>
      <c r="D42" s="14" t="inlineStr">
        <is>
          <t>C10</t>
        </is>
      </c>
      <c r="E42" s="14" t="inlineStr">
        <is>
          <t>Capri</t>
        </is>
      </c>
      <c r="F42" s="22" t="n">
        <v>26</v>
      </c>
    </row>
    <row r="43">
      <c r="A43" s="14" t="inlineStr">
        <is>
          <t>Tramo 1 · pavé</t>
        </is>
      </c>
      <c r="B43" s="14" t="inlineStr"/>
      <c r="C43" s="14" t="inlineStr">
        <is>
          <t>Óvalo 13 × 18 mm</t>
        </is>
      </c>
      <c r="D43" s="14" t="inlineStr">
        <is>
          <t>O13</t>
        </is>
      </c>
      <c r="E43" s="14" t="inlineStr">
        <is>
          <t>Aguamarina</t>
        </is>
      </c>
      <c r="F43" s="22" t="n">
        <v>8</v>
      </c>
    </row>
    <row r="44">
      <c r="A44" s="14" t="inlineStr">
        <is>
          <t>Tramo 1 · pavé</t>
        </is>
      </c>
      <c r="B44" s="14" t="inlineStr"/>
      <c r="C44" s="14" t="inlineStr">
        <is>
          <t>Óvalo 13 × 18 mm</t>
        </is>
      </c>
      <c r="D44" s="14" t="inlineStr">
        <is>
          <t>O13</t>
        </is>
      </c>
      <c r="E44" s="14" t="inlineStr">
        <is>
          <t>Capri</t>
        </is>
      </c>
      <c r="F44" s="22" t="n">
        <v>14</v>
      </c>
    </row>
    <row r="45">
      <c r="A45" s="14" t="inlineStr">
        <is>
          <t>Tramo 1 · pavé</t>
        </is>
      </c>
      <c r="B45" s="14" t="inlineStr"/>
      <c r="C45" s="14" t="inlineStr">
        <is>
          <t>Perla 6 mm</t>
        </is>
      </c>
      <c r="D45" s="14" t="inlineStr">
        <is>
          <t>P06</t>
        </is>
      </c>
      <c r="E45" s="14" t="inlineStr">
        <is>
          <t>Perla crema</t>
        </is>
      </c>
      <c r="F45" s="22" t="n">
        <v>110</v>
      </c>
    </row>
    <row r="46">
      <c r="A46" s="14" t="inlineStr">
        <is>
          <t>Tramo 1 · pavé</t>
        </is>
      </c>
      <c r="B46" s="14" t="inlineStr"/>
      <c r="C46" s="14" t="inlineStr">
        <is>
          <t>Perla 8 mm</t>
        </is>
      </c>
      <c r="D46" s="14" t="inlineStr">
        <is>
          <t>P08</t>
        </is>
      </c>
      <c r="E46" s="14" t="inlineStr">
        <is>
          <t>Perla crema</t>
        </is>
      </c>
      <c r="F46" s="22" t="n">
        <v>36</v>
      </c>
    </row>
    <row r="47">
      <c r="A47" s="14" t="inlineStr">
        <is>
          <t>Orla</t>
        </is>
      </c>
      <c r="B47" s="14" t="inlineStr">
        <is>
          <t>94–197</t>
        </is>
      </c>
      <c r="C47" s="14" t="inlineStr">
        <is>
          <t>Perla 6 mm</t>
        </is>
      </c>
      <c r="D47" s="14" t="inlineStr">
        <is>
          <t>P06</t>
        </is>
      </c>
      <c r="E47" s="14" t="inlineStr">
        <is>
          <t>Perla crema</t>
        </is>
      </c>
      <c r="F47" s="22" t="n">
        <v>26</v>
      </c>
    </row>
    <row r="48">
      <c r="A48" s="14" t="inlineStr">
        <is>
          <t>Orla</t>
        </is>
      </c>
      <c r="B48" s="14" t="inlineStr">
        <is>
          <t>94–197</t>
        </is>
      </c>
      <c r="C48" s="14" t="inlineStr">
        <is>
          <t>Perla 8 mm</t>
        </is>
      </c>
      <c r="D48" s="14" t="inlineStr">
        <is>
          <t>P08</t>
        </is>
      </c>
      <c r="E48" s="14" t="inlineStr">
        <is>
          <t>Perla crema</t>
        </is>
      </c>
      <c r="F48" s="22" t="n">
        <v>18</v>
      </c>
    </row>
    <row r="49">
      <c r="E49" s="13" t="inlineStr">
        <is>
          <t>Total</t>
        </is>
      </c>
      <c r="F49" s="23">
        <f>SUM(F5:F48)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F6652"/>
    <outlinePr summaryBelow="1" summaryRight="1"/>
    <pageSetUpPr fitToPage="1"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70" customWidth="1" min="4" max="4"/>
    <col width="30" customWidth="1" min="5" max="5"/>
    <col width="22" customWidth="1" min="6" max="6"/>
    <col width="10" customWidth="1" min="7" max="7"/>
  </cols>
  <sheetData>
    <row r="1">
      <c r="A1" s="1" t="inlineStr">
        <is>
          <t>Capas y presupuesto de peso</t>
        </is>
      </c>
    </row>
    <row r="2">
      <c r="A2" s="2" t="inlineStr">
        <is>
          <t>Peso estimado 1,9–2,7 kg. El peso admisible de la réplica está PENDIENTE (prueba 6).</t>
        </is>
      </c>
    </row>
    <row r="4" ht="30" customHeight="1">
      <c r="A4" s="12" t="inlineStr">
        <is>
          <t>N.º</t>
        </is>
      </c>
      <c r="B4" s="12" t="inlineStr">
        <is>
          <t>Cara</t>
        </is>
      </c>
      <c r="C4" s="12" t="inlineStr">
        <is>
          <t>Capa</t>
        </is>
      </c>
      <c r="D4" s="12" t="inlineStr">
        <is>
          <t>Qué es</t>
        </is>
      </c>
      <c r="E4" s="12" t="inlineStr">
        <is>
          <t>Materiales</t>
        </is>
      </c>
      <c r="F4" s="12" t="inlineStr">
        <is>
          <t>Fases</t>
        </is>
      </c>
      <c r="G4" s="12" t="inlineStr">
        <is>
          <t>Peso (g)</t>
        </is>
      </c>
    </row>
    <row r="5">
      <c r="A5" s="14" t="n">
        <v>1</v>
      </c>
      <c r="B5" s="14" t="inlineStr">
        <is>
          <t>revés</t>
        </is>
      </c>
      <c r="C5" s="32" t="inlineStr">
        <is>
          <t>Sujeción</t>
        </is>
      </c>
      <c r="D5" s="15" t="inlineStr">
        <is>
          <t>Cinta de algodón de 25 mm cosida por el revés a lo largo del arranque, con tiras y velcro que cuelgan el manto desde detrás de la corona. Sin varillas ni piezas rígidas.</t>
        </is>
      </c>
      <c r="E5" s="15" t="inlineStr">
        <is>
          <t>M30, M31</t>
        </is>
      </c>
      <c r="F5" s="14" t="inlineStr">
        <is>
          <t>F17</t>
        </is>
      </c>
      <c r="G5" s="22" t="n">
        <v>40</v>
      </c>
    </row>
    <row r="6">
      <c r="A6" s="14" t="n">
        <v>2</v>
      </c>
      <c r="B6" s="14" t="inlineStr">
        <is>
          <t>revés</t>
        </is>
      </c>
      <c r="C6" s="32" t="inlineStr">
        <is>
          <t>Protector de roce</t>
        </is>
      </c>
      <c r="D6" s="15" t="inlineStr">
        <is>
          <t>Segundo forro de tafetán esmeralda hondo donde el manto apoya en la espalda del retablo, para que el metal no marque el terciopelo ni enganche hilos.</t>
        </is>
      </c>
      <c r="E6" s="15" t="inlineStr">
        <is>
          <t>M03</t>
        </is>
      </c>
      <c r="F6" s="14" t="inlineStr">
        <is>
          <t>F17</t>
        </is>
      </c>
      <c r="G6" s="22" t="n">
        <v>40</v>
      </c>
    </row>
    <row r="7">
      <c r="A7" s="14" t="n">
        <v>3</v>
      </c>
      <c r="B7" s="14" t="inlineStr">
        <is>
          <t>revés</t>
        </is>
      </c>
      <c r="C7" s="32" t="inlineStr">
        <is>
          <t>Forro</t>
        </is>
      </c>
      <c r="D7" s="15" t="inlineStr">
        <is>
          <t>Raso o tafetán esmeralda hondo. Va de vuelta a vuelta: en los bordes lo sustituyen las vueltas de terciopelo, para que desde el frente nunca se vea el forro.</t>
        </is>
      </c>
      <c r="E7" s="15" t="inlineStr">
        <is>
          <t>M02</t>
        </is>
      </c>
      <c r="F7" s="14" t="inlineStr">
        <is>
          <t>F17</t>
        </is>
      </c>
      <c r="G7" s="22" t="n">
        <v>240</v>
      </c>
    </row>
    <row r="8">
      <c r="A8" s="14" t="n">
        <v>4</v>
      </c>
      <c r="B8" s="14" t="inlineStr">
        <is>
          <t>revés</t>
        </is>
      </c>
      <c r="C8" s="32" t="inlineStr">
        <is>
          <t>Vueltas de los bordes</t>
        </is>
      </c>
      <c r="D8" s="15" t="inlineStr">
        <is>
          <t>Tiras de terciopelo de 6 cm vistos, con galón de oro de 1,5 cm, en el revés de los dos lados. Es lo que asoma por el frente, a los lados del retablo.</t>
        </is>
      </c>
      <c r="E8" s="15" t="inlineStr">
        <is>
          <t>M01, M29</t>
        </is>
      </c>
      <c r="F8" s="14" t="inlineStr">
        <is>
          <t>F16</t>
        </is>
      </c>
      <c r="G8" s="22" t="n">
        <v>95</v>
      </c>
    </row>
    <row r="9">
      <c r="A9" s="14" t="n">
        <v>5</v>
      </c>
      <c r="B9" s="14" t="inlineStr">
        <is>
          <t>revés</t>
        </is>
      </c>
      <c r="C9" s="32" t="inlineStr">
        <is>
          <t>Organza de soporte y refuerzo del pie</t>
        </is>
      </c>
      <c r="D9" s="15" t="inlineStr">
        <is>
          <t>Organza hilvanada por el revés del terciopelo bajo todo lo bordado; doble bajo el pavé. Cinta de algodón de 2 cm a lo largo del pie, bajo el pavé.</t>
        </is>
      </c>
      <c r="E9" s="15" t="inlineStr">
        <is>
          <t>M08, M09</t>
        </is>
      </c>
      <c r="F9" s="14" t="inlineStr">
        <is>
          <t>F05</t>
        </is>
      </c>
      <c r="G9" s="22" t="n">
        <v>130</v>
      </c>
    </row>
    <row r="10">
      <c r="A10" s="14" t="n">
        <v>6</v>
      </c>
      <c r="B10" s="14" t="inlineStr">
        <is>
          <t>exterior</t>
        </is>
      </c>
      <c r="C10" s="32" t="inlineStr">
        <is>
          <t>Cuerpo de terciopelo</t>
        </is>
      </c>
      <c r="D10" s="15" t="inlineStr">
        <is>
          <t>Terciopelo esmeralda profundo de un solo tono, con el pelo hacia arriba. Trapecio de 67,5 cm arriba, 150 cm al pie y 200 cm de alto. Si la tela no da el ancho del pie, dos nesgas que quedan bajo el galón.</t>
        </is>
      </c>
      <c r="E10" s="15" t="inlineStr">
        <is>
          <t>M01</t>
        </is>
      </c>
      <c r="F10" s="14" t="inlineStr">
        <is>
          <t>F05</t>
        </is>
      </c>
      <c r="G10" s="22" t="n">
        <v>790</v>
      </c>
    </row>
    <row r="11">
      <c r="A11" s="14" t="n">
        <v>7</v>
      </c>
      <c r="B11" s="14" t="inlineStr">
        <is>
          <t>exterior</t>
        </is>
      </c>
      <c r="C11" s="32" t="inlineStr">
        <is>
          <t>Bordado directo</t>
        </is>
      </c>
      <c r="D11" s="15" t="inlineStr">
        <is>
          <t>Todo lo que se borda sobre el manto extendido: el resplandor, los tallos, el horizonte, el Lago, las líneas de las olas y el ribete del arranque. Hilos metálicos sintéticos, por la humedad.</t>
        </is>
      </c>
      <c r="E11" s="15" t="inlineStr">
        <is>
          <t>M13, M17, M18, M19, M20, M21, M23</t>
        </is>
      </c>
      <c r="F11" s="14" t="inlineStr">
        <is>
          <t>F07, F08, F12, F14</t>
        </is>
      </c>
      <c r="G11" s="22" t="n">
        <v>130</v>
      </c>
    </row>
    <row r="12">
      <c r="A12" s="14" t="n">
        <v>8</v>
      </c>
      <c r="B12" s="14" t="inlineStr">
        <is>
          <t>exterior</t>
        </is>
      </c>
      <c r="C12" s="32" t="inlineStr">
        <is>
          <t>Apliques: cruz y paneles DTF</t>
        </is>
      </c>
      <c r="D12" s="15" t="inlineStr">
        <is>
          <t>Lo que se hace aparte y se aplica: la cruz en realce, bordada en bastidor sobre lienzo, y las 36 piezas DTF sobre raso marfil, rellenas con fieltro, cosidas por el borde y perfiladas con cordón.</t>
        </is>
      </c>
      <c r="E12" s="15" t="inlineStr">
        <is>
          <t>M04, M05, M06, M07, M10, M11, M13, M15, M16, M19, M22</t>
        </is>
      </c>
      <c r="F12" s="14" t="inlineStr">
        <is>
          <t>F04, F06, F10, F12</t>
        </is>
      </c>
      <c r="G12" s="22" t="n">
        <v>176</v>
      </c>
    </row>
    <row r="13">
      <c r="A13" s="14" t="n">
        <v>9</v>
      </c>
      <c r="B13" s="14" t="inlineStr">
        <is>
          <t>exterior</t>
        </is>
      </c>
      <c r="C13" s="32" t="inlineStr">
        <is>
          <t>Ancla y amarra</t>
        </is>
      </c>
      <c r="D13" s="15" t="inlineStr">
        <is>
          <t>El ancla de perlas y piedras champán dentro de un perfil de cordón de oro, que nace del pie de la cruz, y la amarra de once perlas que baja hacia el sol. La cose una sola persona.</t>
        </is>
      </c>
      <c r="E13" s="15" t="inlineStr">
        <is>
          <t>M13, M23, P04, P08, P06, S16, S20, C08, C10</t>
        </is>
      </c>
      <c r="F13" s="14" t="inlineStr">
        <is>
          <t>F09, F11</t>
        </is>
      </c>
      <c r="G13" s="22" t="n">
        <v>48</v>
      </c>
    </row>
    <row r="14">
      <c r="A14" s="14" t="n">
        <v>10</v>
      </c>
      <c r="B14" s="14" t="inlineStr">
        <is>
          <t>exterior</t>
        </is>
      </c>
      <c r="C14" s="32" t="inlineStr">
        <is>
          <t>Degradado de pedrería</t>
        </is>
      </c>
      <c r="D14" s="15" t="inlineStr">
        <is>
          <t>Sube desde la orla del pie y se aclara en cinco tramos: Capri y aguamarina abajo, cristal en medio, champán y perla arriba. Ninguna piedra toca la película DTF ni se acerca a menos de 4 cm de la amarra o del sol.</t>
        </is>
      </c>
      <c r="E14" s="15" t="inlineStr">
        <is>
          <t>S12, S16, S20, S30, S40, C08, C10, O13, P04, P06, P08, M23</t>
        </is>
      </c>
      <c r="F14" s="14" t="inlineStr">
        <is>
          <t>F13</t>
        </is>
      </c>
      <c r="G14" s="22" t="n">
        <v>378</v>
      </c>
    </row>
    <row r="15">
      <c r="A15" s="14" t="n">
        <v>11</v>
      </c>
      <c r="B15" s="14" t="inlineStr">
        <is>
          <t>exterior</t>
        </is>
      </c>
      <c r="C15" s="32" t="inlineStr">
        <is>
          <t>Orla</t>
        </is>
      </c>
      <c r="D15" s="15" t="inlineStr">
        <is>
          <t>Galón de volutas barrocas doradas de 7 cm y cordón de oro de 4 mm en los lados y el pie, atrapados en la costura del borde para que se vean por las dos caras. Perlas en las volutas solo por debajo de 0,45 H.</t>
        </is>
      </c>
      <c r="E15" s="15" t="inlineStr">
        <is>
          <t>M28, M14, P08, P06</t>
        </is>
      </c>
      <c r="F15" s="14" t="inlineStr">
        <is>
          <t>F15</t>
        </is>
      </c>
      <c r="G15" s="22" t="n">
        <v>221</v>
      </c>
    </row>
    <row r="16">
      <c r="F16" s="13" t="inlineStr">
        <is>
          <t>Total (g)</t>
        </is>
      </c>
      <c r="G16" s="23">
        <f>SUM(G5:G15)</f>
        <v/>
      </c>
    </row>
    <row r="17">
      <c r="F17" s="13" t="inlineStr">
        <is>
          <t>Total (kg)</t>
        </is>
      </c>
      <c r="G17" s="33">
        <f>G16/1000</f>
        <v/>
      </c>
    </row>
    <row r="18">
      <c r="F18" s="13" t="inlineStr">
        <is>
          <t>Peso admisible (kg)</t>
        </is>
      </c>
      <c r="G18" s="34" t="n"/>
    </row>
    <row r="19">
      <c r="F19" s="13" t="inlineStr">
        <is>
          <t>Margen (kg)</t>
        </is>
      </c>
      <c r="G19" s="33">
        <f>IF(G18="","pendiente",G18-G17)</f>
        <v/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F6652"/>
    <outlinePr summaryBelow="1" summaryRight="1"/>
    <pageSetUpPr fitToPage="1"/>
  </sheetPr>
  <dimension ref="A1:G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9" customWidth="1" min="3" max="3"/>
    <col width="14" customWidth="1" min="4" max="4"/>
    <col width="42" customWidth="1" min="5" max="5"/>
    <col width="26" customWidth="1" min="6" max="6"/>
    <col width="60" customWidth="1" min="7" max="7"/>
  </cols>
  <sheetData>
    <row r="1">
      <c r="A1" s="1" t="inlineStr">
        <is>
          <t>Patrón: piezas de tela</t>
        </is>
      </c>
    </row>
    <row r="2">
      <c r="A2" s="2" t="inlineStr">
        <is>
          <t>Medidas para H = 200 cm, W = 150 cm. Alturas × H/200; anchos × W/150.</t>
        </is>
      </c>
    </row>
    <row r="4" ht="30" customHeight="1">
      <c r="A4" s="12" t="inlineStr">
        <is>
          <t>Pieza</t>
        </is>
      </c>
      <c r="B4" s="12" t="inlineStr">
        <is>
          <t>Nombre</t>
        </is>
      </c>
      <c r="C4" s="12" t="inlineStr">
        <is>
          <t>Material</t>
        </is>
      </c>
      <c r="D4" s="12" t="inlineStr">
        <is>
          <t>Cantidad</t>
        </is>
      </c>
      <c r="E4" s="12" t="inlineStr">
        <is>
          <t>Medidas</t>
        </is>
      </c>
      <c r="F4" s="12" t="inlineStr">
        <is>
          <t>Márgenes</t>
        </is>
      </c>
      <c r="G4" s="12" t="inlineStr">
        <is>
          <t>Nota</t>
        </is>
      </c>
    </row>
    <row r="5">
      <c r="A5" s="32" t="inlineStr">
        <is>
          <t>P01</t>
        </is>
      </c>
      <c r="B5" s="15" t="inlineStr">
        <is>
          <t>Cuerpo</t>
        </is>
      </c>
      <c r="C5" s="15" t="inlineStr">
        <is>
          <t>M01</t>
        </is>
      </c>
      <c r="D5" s="15" t="n">
        <v>1</v>
      </c>
      <c r="E5" s="15" t="inlineStr">
        <is>
          <t>Trapecio: 67,5 cm arriba, 150 cm al pie, 200 cm de alto (lado de 204,2 cm)</t>
        </is>
      </c>
      <c r="F5" s="15" t="inlineStr">
        <is>
          <t>1,5 cm en los lados, 3 cm arriba, 2 cm en el pie</t>
        </is>
      </c>
      <c r="G5" s="15" t="inlineStr">
        <is>
          <t>Pelo hacia arriba. Marcar el eje y las líneas de cota con hilván.</t>
        </is>
      </c>
    </row>
    <row r="6">
      <c r="A6" s="32" t="inlineStr">
        <is>
          <t>P02</t>
        </is>
      </c>
      <c r="B6" s="15" t="inlineStr">
        <is>
          <t>Nesgas del pie</t>
        </is>
      </c>
      <c r="C6" s="15" t="inlineStr">
        <is>
          <t>M01</t>
        </is>
      </c>
      <c r="D6" s="15" t="n">
        <v>2</v>
      </c>
      <c r="E6" s="15" t="inlineStr">
        <is>
          <t>Con tela de 1,40 m: triángulo de 9 × 37 cm. Con 1,50 m: 4 × 13 cm</t>
        </is>
      </c>
      <c r="F6" s="15" t="inlineStr">
        <is>
          <t>Incluidos</t>
        </is>
      </c>
      <c r="G6" s="15" t="inlineStr">
        <is>
          <t>Solo si el ancho útil de la tela no llega a 153 cm. La costura queda a 6 cm o menos del borde, bajo el galón. Mismo sentido de pelo.</t>
        </is>
      </c>
    </row>
    <row r="7">
      <c r="A7" s="32" t="inlineStr">
        <is>
          <t>P03</t>
        </is>
      </c>
      <c r="B7" s="15" t="inlineStr">
        <is>
          <t>Vueltas</t>
        </is>
      </c>
      <c r="C7" s="15" t="inlineStr">
        <is>
          <t>M01</t>
        </is>
      </c>
      <c r="D7" s="15" t="n">
        <v>2</v>
      </c>
      <c r="E7" s="15" t="inlineStr">
        <is>
          <t>Tira de 9 × 208 cm (6 vistos + 1,5 + 1,5)</t>
        </is>
      </c>
      <c r="F7" s="15" t="inlineStr">
        <is>
          <t>Incluidos</t>
        </is>
      </c>
      <c r="G7" s="15" t="inlineStr">
        <is>
          <t>Al hilo, de una sola pieza, pelo hacia arriba.</t>
        </is>
      </c>
    </row>
    <row r="8">
      <c r="A8" s="32" t="inlineStr">
        <is>
          <t>P04</t>
        </is>
      </c>
      <c r="B8" s="15" t="inlineStr">
        <is>
          <t>Forro</t>
        </is>
      </c>
      <c r="C8" s="15" t="inlineStr">
        <is>
          <t>M02</t>
        </is>
      </c>
      <c r="D8" s="15" t="n">
        <v>1</v>
      </c>
      <c r="E8" s="15" t="inlineStr">
        <is>
          <t>Trapecio: 55,5 cm arriba, 138 cm al pie, 200 cm de alto</t>
        </is>
      </c>
      <c r="F8" s="15" t="inlineStr">
        <is>
          <t>1,5 cm en los lados, 3 cm arriba, 2 cm en el pie</t>
        </is>
      </c>
      <c r="G8" s="15" t="inlineStr">
        <is>
          <t>El cuerpo menos las vueltas. Con tela de 1,50 m sale entero; con 1,40 m, dos mitades encontradas (cabeza con pie) en 2,1 m, unidas al centro.</t>
        </is>
      </c>
    </row>
    <row r="9">
      <c r="A9" s="32" t="inlineStr">
        <is>
          <t>P05</t>
        </is>
      </c>
      <c r="B9" s="15" t="inlineStr">
        <is>
          <t>Protector de roce</t>
        </is>
      </c>
      <c r="C9" s="15" t="inlineStr">
        <is>
          <t>M03</t>
        </is>
      </c>
      <c r="D9" s="15" t="n">
        <v>1</v>
      </c>
      <c r="E9" s="15" t="inlineStr">
        <is>
          <t>≈ 62 × 92 cm</t>
        </is>
      </c>
      <c r="F9" s="15" t="inlineStr">
        <is>
          <t>1,5 cm</t>
        </is>
      </c>
      <c r="G9" s="15" t="inlineStr">
        <is>
          <t>PENDIENTE: copiar el contorno trasero del retablo y sumar 3 cm. Se corta al través.</t>
        </is>
      </c>
    </row>
    <row r="10">
      <c r="A10" s="32" t="inlineStr">
        <is>
          <t>P06</t>
        </is>
      </c>
      <c r="B10" s="15" t="inlineStr">
        <is>
          <t>Organza de soporte</t>
        </is>
      </c>
      <c r="C10" s="15" t="inlineStr">
        <is>
          <t>M08</t>
        </is>
      </c>
      <c r="D10" s="15" t="n">
        <v>3</v>
      </c>
      <c r="E10" s="15" t="inlineStr">
        <is>
          <t>Corazón y azucenas 100 × 105 cm; agua 155 × 80 cm; doble del pie 155 × 32 cm</t>
        </is>
      </c>
      <c r="F10" s="15" t="inlineStr">
        <is>
          <t>5 cm para el bastidor</t>
        </is>
      </c>
      <c r="G10" s="15" t="inlineStr">
        <is>
          <t>Se hilvana al revés del terciopelo antes de bordar.</t>
        </is>
      </c>
    </row>
    <row r="11">
      <c r="A11" s="32" t="inlineStr">
        <is>
          <t>P07</t>
        </is>
      </c>
      <c r="B11" s="15" t="inlineStr">
        <is>
          <t>Cinta de refuerzo del pie</t>
        </is>
      </c>
      <c r="C11" s="15" t="inlineStr">
        <is>
          <t>M09</t>
        </is>
      </c>
      <c r="D11" s="15" t="n">
        <v>1</v>
      </c>
      <c r="E11" s="15" t="inlineStr">
        <is>
          <t>2 × 155 cm</t>
        </is>
      </c>
      <c r="F11" s="15" t="inlineStr">
        <is>
          <t>—</t>
        </is>
      </c>
      <c r="G11" s="15" t="inlineStr">
        <is>
          <t>Por el revés, bajo el pavé.</t>
        </is>
      </c>
    </row>
    <row r="12">
      <c r="A12" s="32" t="inlineStr">
        <is>
          <t>P08</t>
        </is>
      </c>
      <c r="B12" s="15" t="inlineStr">
        <is>
          <t>Lienzo de la cruz</t>
        </is>
      </c>
      <c r="C12" s="15" t="inlineStr">
        <is>
          <t>M10</t>
        </is>
      </c>
      <c r="D12" s="15" t="n">
        <v>1</v>
      </c>
      <c r="E12" s="15" t="inlineStr">
        <is>
          <t>55 × 60 cm</t>
        </is>
      </c>
      <c r="F12" s="15" t="inlineStr">
        <is>
          <t>8 cm por lado para el bastidor</t>
        </is>
      </c>
      <c r="G12" s="15" t="inlineStr">
        <is>
          <t>La cruz mide 39 × 43 cm.</t>
        </is>
      </c>
    </row>
    <row r="13">
      <c r="A13" s="32" t="inlineStr">
        <is>
          <t>P09</t>
        </is>
      </c>
      <c r="B13" s="15" t="inlineStr">
        <is>
          <t>Realce de la cruz</t>
        </is>
      </c>
      <c r="C13" s="15" t="inlineStr">
        <is>
          <t>M11</t>
        </is>
      </c>
      <c r="D13" s="15" t="n">
        <v>3</v>
      </c>
      <c r="E13" s="15" t="inlineStr">
        <is>
          <t>Silueta de la cruz a −2, −5 y −8 mm</t>
        </is>
      </c>
      <c r="F13" s="15" t="inlineStr">
        <is>
          <t>—</t>
        </is>
      </c>
      <c r="G13" s="15" t="inlineStr">
        <is>
          <t>Tres capas escalonadas, como el fieltro: primero la pequeña (−8 mm), luego la de −5 mm y encima la grande (−2 mm), que cubre a las otras. Así el oro sube en cúpula.</t>
        </is>
      </c>
    </row>
    <row r="14">
      <c r="A14" s="32" t="inlineStr">
        <is>
          <t>P10</t>
        </is>
      </c>
      <c r="B14" s="15" t="inlineStr">
        <is>
          <t>Paneles DTF</t>
        </is>
      </c>
      <c r="C14" s="15" t="inlineStr">
        <is>
          <t>M04</t>
        </is>
      </c>
      <c r="D14" s="15" t="n">
        <v>36</v>
      </c>
      <c r="E14" s="15" t="inlineStr">
        <is>
          <t>Ver la tabla de piezas DTF</t>
        </is>
      </c>
      <c r="F14" s="15" t="inlineStr">
        <is>
          <t>Corte a 6 mm del borde impreso</t>
        </is>
      </c>
      <c r="G14" s="15" t="inlineStr">
        <is>
          <t>Raso marfil con entretela termoadhesiva planchada antes de prensar. Más repuestos: ver el pliego.</t>
        </is>
      </c>
    </row>
    <row r="15">
      <c r="A15" s="32" t="inlineStr">
        <is>
          <t>P11</t>
        </is>
      </c>
      <c r="B15" s="15" t="inlineStr">
        <is>
          <t>Rellenos de fieltro (azucenas, capullos y crestas)</t>
        </is>
      </c>
      <c r="C15" s="15" t="inlineStr">
        <is>
          <t>M07</t>
        </is>
      </c>
      <c r="D15" s="15" t="inlineStr">
        <is>
          <t>2 capas por pieza (12 piezas, 24 recortes)</t>
        </is>
      </c>
      <c r="E15" s="15" t="inlineStr">
        <is>
          <t>Capa grande a −3 mm del borde impreso; capa pequeña a −8 mm</t>
        </is>
      </c>
      <c r="F15" s="15" t="inlineStr">
        <is>
          <t>—</t>
        </is>
      </c>
      <c r="G15" s="15" t="inlineStr">
        <is>
          <t>Primero la capa pequeña (−8 mm), centrada y cosida contra el terciopelo; encima la grande (−3 mm), que la cubre; después el raso. Así el relieve sube en cúpula, sin escalón visible. Las hojas y el olivo no llevan relleno.</t>
        </is>
      </c>
    </row>
    <row r="16">
      <c r="A16" s="32" t="inlineStr">
        <is>
          <t>P12</t>
        </is>
      </c>
      <c r="B16" s="15" t="inlineStr">
        <is>
          <t>Cinta de sujeción</t>
        </is>
      </c>
      <c r="C16" s="15" t="inlineStr">
        <is>
          <t>M30</t>
        </is>
      </c>
      <c r="D16" s="15" t="n">
        <v>1</v>
      </c>
      <c r="E16" s="15" t="inlineStr">
        <is>
          <t>70 cm en el arranque + tiras según los anclajes</t>
        </is>
      </c>
      <c r="F16" s="15" t="inlineStr">
        <is>
          <t>—</t>
        </is>
      </c>
      <c r="G16" s="15" t="inlineStr">
        <is>
          <t>PENDIENTE: puntos de anclaje en el retablo y las andas.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F6652"/>
    <outlinePr summaryBelow="1" summaryRight="1"/>
    <pageSetUpPr fitToPage="1"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0" customWidth="1" min="4" max="4"/>
    <col width="11" customWidth="1" min="5" max="5"/>
    <col width="10" customWidth="1" min="6" max="6"/>
    <col width="12" customWidth="1" min="7" max="7"/>
    <col width="8" customWidth="1" min="8" max="8"/>
    <col width="12" customWidth="1" min="9" max="9"/>
    <col width="30" customWidth="1" min="10" max="10"/>
    <col width="30" customWidth="1" min="11" max="11"/>
  </cols>
  <sheetData>
    <row r="1">
      <c r="A1" s="1" t="inlineStr">
        <is>
          <t>Piezas DTF</t>
        </is>
      </c>
    </row>
    <row r="2">
      <c r="A2" s="2" t="inlineStr">
        <is>
          <t>Pliego de 56 × 98 cm a 300 ppp. Raso cortado a 6 mm del borde impreso.</t>
        </is>
      </c>
    </row>
    <row r="4" ht="30" customHeight="1">
      <c r="A4" s="12" t="inlineStr">
        <is>
          <t>Código</t>
        </is>
      </c>
      <c r="B4" s="12" t="inlineStr">
        <is>
          <t>Pieza</t>
        </is>
      </c>
      <c r="C4" s="12" t="inlineStr">
        <is>
          <t>Ancho (cm)</t>
        </is>
      </c>
      <c r="D4" s="12" t="inlineStr">
        <is>
          <t>Alto (cm)</t>
        </is>
      </c>
      <c r="E4" s="12" t="inlineStr">
        <is>
          <t>En el manto</t>
        </is>
      </c>
      <c r="F4" s="12" t="inlineStr">
        <is>
          <t>Repuestos</t>
        </is>
      </c>
      <c r="G4" s="12" t="inlineStr">
        <is>
          <t>Total impreso</t>
        </is>
      </c>
      <c r="H4" s="12" t="inlineStr">
        <is>
          <t>Fieltro</t>
        </is>
      </c>
      <c r="I4" s="12" t="inlineStr">
        <is>
          <t>ppp de origen</t>
        </is>
      </c>
      <c r="J4" s="12" t="inlineStr">
        <is>
          <t>Archivo</t>
        </is>
      </c>
      <c r="K4" s="12" t="inlineStr">
        <is>
          <t>Archivo espejo</t>
        </is>
      </c>
    </row>
    <row r="5">
      <c r="A5" s="13" t="inlineStr">
        <is>
          <t>A1</t>
        </is>
      </c>
      <c r="B5" s="14" t="inlineStr">
        <is>
          <t>Azucena de frente</t>
        </is>
      </c>
      <c r="C5" s="35" t="n">
        <v>12.1</v>
      </c>
      <c r="D5" s="35" t="n">
        <v>13</v>
      </c>
      <c r="E5" s="36" t="n">
        <v>2</v>
      </c>
      <c r="F5" s="37" t="n">
        <v>1</v>
      </c>
      <c r="G5" s="14">
        <f>E5+F5</f>
        <v/>
      </c>
      <c r="H5" s="14" t="inlineStr">
        <is>
          <t>sí</t>
        </is>
      </c>
      <c r="I5" s="36" t="n">
        <v>292</v>
      </c>
      <c r="J5" s="14" t="inlineStr">
        <is>
          <t>A1_azucena-de-frente.png</t>
        </is>
      </c>
      <c r="K5" s="14" t="inlineStr">
        <is>
          <t>A1e_azucena-de-frente.png</t>
        </is>
      </c>
    </row>
    <row r="6">
      <c r="A6" s="13" t="inlineStr">
        <is>
          <t>A2</t>
        </is>
      </c>
      <c r="B6" s="14" t="inlineStr">
        <is>
          <t>Azucena de perfil</t>
        </is>
      </c>
      <c r="C6" s="35" t="n">
        <v>12.03</v>
      </c>
      <c r="D6" s="35" t="n">
        <v>13</v>
      </c>
      <c r="E6" s="36" t="n">
        <v>2</v>
      </c>
      <c r="F6" s="37" t="n">
        <v>1</v>
      </c>
      <c r="G6" s="14">
        <f>E6+F6</f>
        <v/>
      </c>
      <c r="H6" s="14" t="inlineStr">
        <is>
          <t>sí</t>
        </is>
      </c>
      <c r="I6" s="36" t="n">
        <v>240</v>
      </c>
      <c r="J6" s="14" t="inlineStr">
        <is>
          <t>A2_azucena-de-perfil.png</t>
        </is>
      </c>
      <c r="K6" s="14" t="inlineStr">
        <is>
          <t>A2e_azucena-de-perfil.png</t>
        </is>
      </c>
    </row>
    <row r="7">
      <c r="A7" s="13" t="inlineStr">
        <is>
          <t>B1</t>
        </is>
      </c>
      <c r="B7" s="14" t="inlineStr">
        <is>
          <t>Capullo</t>
        </is>
      </c>
      <c r="C7" s="35" t="n">
        <v>3.2</v>
      </c>
      <c r="D7" s="35" t="n">
        <v>9</v>
      </c>
      <c r="E7" s="36" t="n">
        <v>2</v>
      </c>
      <c r="F7" s="37" t="n">
        <v>1</v>
      </c>
      <c r="G7" s="14">
        <f>E7+F7</f>
        <v/>
      </c>
      <c r="H7" s="14" t="inlineStr">
        <is>
          <t>sí</t>
        </is>
      </c>
      <c r="I7" s="36" t="n">
        <v>330</v>
      </c>
      <c r="J7" s="14" t="inlineStr">
        <is>
          <t>B1_capullo.png</t>
        </is>
      </c>
      <c r="K7" s="14" t="inlineStr">
        <is>
          <t>B1e_capullo.png</t>
        </is>
      </c>
    </row>
    <row r="8">
      <c r="A8" s="13" t="inlineStr">
        <is>
          <t>H1</t>
        </is>
      </c>
      <c r="B8" s="14" t="inlineStr">
        <is>
          <t>Hoja larga 1</t>
        </is>
      </c>
      <c r="C8" s="35" t="n">
        <v>17.17</v>
      </c>
      <c r="D8" s="35" t="n">
        <v>2.53</v>
      </c>
      <c r="E8" s="36" t="n">
        <v>2</v>
      </c>
      <c r="F8" s="37" t="n">
        <v>1</v>
      </c>
      <c r="G8" s="14">
        <f>E8+F8</f>
        <v/>
      </c>
      <c r="H8" s="14" t="inlineStr">
        <is>
          <t>no</t>
        </is>
      </c>
      <c r="I8" s="36" t="n">
        <v>186</v>
      </c>
      <c r="J8" s="14" t="inlineStr">
        <is>
          <t>H1_hoja-larga-1.png</t>
        </is>
      </c>
      <c r="K8" s="14" t="inlineStr">
        <is>
          <t>H1e_hoja-larga-1.png</t>
        </is>
      </c>
    </row>
    <row r="9">
      <c r="A9" s="13" t="inlineStr">
        <is>
          <t>H2</t>
        </is>
      </c>
      <c r="B9" s="14" t="inlineStr">
        <is>
          <t>Hoja larga 2</t>
        </is>
      </c>
      <c r="C9" s="35" t="n">
        <v>16.26</v>
      </c>
      <c r="D9" s="35" t="n">
        <v>2.85</v>
      </c>
      <c r="E9" s="36" t="n">
        <v>2</v>
      </c>
      <c r="F9" s="37" t="n">
        <v>0</v>
      </c>
      <c r="G9" s="14">
        <f>E9+F9</f>
        <v/>
      </c>
      <c r="H9" s="14" t="inlineStr">
        <is>
          <t>no</t>
        </is>
      </c>
      <c r="I9" s="36" t="n">
        <v>186</v>
      </c>
      <c r="J9" s="14" t="inlineStr">
        <is>
          <t>H2_hoja-larga-2.png</t>
        </is>
      </c>
      <c r="K9" s="14" t="inlineStr">
        <is>
          <t>H2e_hoja-larga-2.png</t>
        </is>
      </c>
    </row>
    <row r="10">
      <c r="A10" s="13" t="inlineStr">
        <is>
          <t>H3</t>
        </is>
      </c>
      <c r="B10" s="14" t="inlineStr">
        <is>
          <t>Hoja larga 3</t>
        </is>
      </c>
      <c r="C10" s="35" t="n">
        <v>15.61</v>
      </c>
      <c r="D10" s="35" t="n">
        <v>2.63</v>
      </c>
      <c r="E10" s="36" t="n">
        <v>2</v>
      </c>
      <c r="F10" s="37" t="n">
        <v>1</v>
      </c>
      <c r="G10" s="14">
        <f>E10+F10</f>
        <v/>
      </c>
      <c r="H10" s="14" t="inlineStr">
        <is>
          <t>no</t>
        </is>
      </c>
      <c r="I10" s="36" t="n">
        <v>186</v>
      </c>
      <c r="J10" s="14" t="inlineStr">
        <is>
          <t>H3_hoja-larga-3.png</t>
        </is>
      </c>
      <c r="K10" s="14" t="inlineStr">
        <is>
          <t>H3e_hoja-larga-3.png</t>
        </is>
      </c>
    </row>
    <row r="11">
      <c r="A11" s="13" t="inlineStr">
        <is>
          <t>H4</t>
        </is>
      </c>
      <c r="B11" s="14" t="inlineStr">
        <is>
          <t>Hoja larga 4</t>
        </is>
      </c>
      <c r="C11" s="35" t="n">
        <v>14.95</v>
      </c>
      <c r="D11" s="35" t="n">
        <v>3.11</v>
      </c>
      <c r="E11" s="36" t="n">
        <v>2</v>
      </c>
      <c r="F11" s="37" t="n">
        <v>0</v>
      </c>
      <c r="G11" s="14">
        <f>E11+F11</f>
        <v/>
      </c>
      <c r="H11" s="14" t="inlineStr">
        <is>
          <t>no</t>
        </is>
      </c>
      <c r="I11" s="36" t="n">
        <v>186</v>
      </c>
      <c r="J11" s="14" t="inlineStr">
        <is>
          <t>H4_hoja-larga-4.png</t>
        </is>
      </c>
      <c r="K11" s="14" t="inlineStr">
        <is>
          <t>H4e_hoja-larga-4.png</t>
        </is>
      </c>
    </row>
    <row r="12">
      <c r="A12" s="13" t="inlineStr">
        <is>
          <t>O1</t>
        </is>
      </c>
      <c r="B12" s="14" t="inlineStr">
        <is>
          <t>Hojita olivo 1</t>
        </is>
      </c>
      <c r="C12" s="35" t="n">
        <v>3.01</v>
      </c>
      <c r="D12" s="35" t="n">
        <v>0.66</v>
      </c>
      <c r="E12" s="36" t="n">
        <v>2</v>
      </c>
      <c r="F12" s="37" t="n">
        <v>1</v>
      </c>
      <c r="G12" s="14">
        <f>E12+F12</f>
        <v/>
      </c>
      <c r="H12" s="14" t="inlineStr">
        <is>
          <t>no</t>
        </is>
      </c>
      <c r="I12" s="36" t="n">
        <v>666</v>
      </c>
      <c r="J12" s="14" t="inlineStr">
        <is>
          <t>O1_hojita-olivo-1.png</t>
        </is>
      </c>
      <c r="K12" s="14" t="inlineStr">
        <is>
          <t>O1e_hojita-olivo-1.png</t>
        </is>
      </c>
    </row>
    <row r="13">
      <c r="A13" s="13" t="inlineStr">
        <is>
          <t>O2</t>
        </is>
      </c>
      <c r="B13" s="14" t="inlineStr">
        <is>
          <t>Hojita olivo 2</t>
        </is>
      </c>
      <c r="C13" s="35" t="n">
        <v>2.96</v>
      </c>
      <c r="D13" s="35" t="n">
        <v>0.8100000000000001</v>
      </c>
      <c r="E13" s="36" t="n">
        <v>2</v>
      </c>
      <c r="F13" s="37" t="n">
        <v>1</v>
      </c>
      <c r="G13" s="14">
        <f>E13+F13</f>
        <v/>
      </c>
      <c r="H13" s="14" t="inlineStr">
        <is>
          <t>no</t>
        </is>
      </c>
      <c r="I13" s="36" t="n">
        <v>666</v>
      </c>
      <c r="J13" s="14" t="inlineStr">
        <is>
          <t>O2_hojita-olivo-2.png</t>
        </is>
      </c>
      <c r="K13" s="14" t="inlineStr">
        <is>
          <t>O2e_hojita-olivo-2.png</t>
        </is>
      </c>
    </row>
    <row r="14">
      <c r="A14" s="13" t="inlineStr">
        <is>
          <t>O3</t>
        </is>
      </c>
      <c r="B14" s="14" t="inlineStr">
        <is>
          <t>Hojita olivo 3</t>
        </is>
      </c>
      <c r="C14" s="35" t="n">
        <v>3.18</v>
      </c>
      <c r="D14" s="35" t="n">
        <v>0.66</v>
      </c>
      <c r="E14" s="36" t="n">
        <v>2</v>
      </c>
      <c r="F14" s="37" t="n">
        <v>0</v>
      </c>
      <c r="G14" s="14">
        <f>E14+F14</f>
        <v/>
      </c>
      <c r="H14" s="14" t="inlineStr">
        <is>
          <t>no</t>
        </is>
      </c>
      <c r="I14" s="36" t="n">
        <v>666</v>
      </c>
      <c r="J14" s="14" t="inlineStr">
        <is>
          <t>O3_hojita-olivo-3.png</t>
        </is>
      </c>
      <c r="K14" s="14" t="inlineStr">
        <is>
          <t>O3e_hojita-olivo-3.png</t>
        </is>
      </c>
    </row>
    <row r="15">
      <c r="A15" s="13" t="inlineStr">
        <is>
          <t>O4</t>
        </is>
      </c>
      <c r="B15" s="14" t="inlineStr">
        <is>
          <t>Hojita olivo 4</t>
        </is>
      </c>
      <c r="C15" s="35" t="n">
        <v>2.88</v>
      </c>
      <c r="D15" s="35" t="n">
        <v>0.73</v>
      </c>
      <c r="E15" s="36" t="n">
        <v>2</v>
      </c>
      <c r="F15" s="37" t="n">
        <v>0</v>
      </c>
      <c r="G15" s="14">
        <f>E15+F15</f>
        <v/>
      </c>
      <c r="H15" s="14" t="inlineStr">
        <is>
          <t>no</t>
        </is>
      </c>
      <c r="I15" s="36" t="n">
        <v>666</v>
      </c>
      <c r="J15" s="14" t="inlineStr">
        <is>
          <t>O4_hojita-olivo-4.png</t>
        </is>
      </c>
      <c r="K15" s="14" t="inlineStr">
        <is>
          <t>O4e_hojita-olivo-4.png</t>
        </is>
      </c>
    </row>
    <row r="16">
      <c r="A16" s="13" t="inlineStr">
        <is>
          <t>O5</t>
        </is>
      </c>
      <c r="B16" s="14" t="inlineStr">
        <is>
          <t>Hojita olivo 5</t>
        </is>
      </c>
      <c r="C16" s="35" t="n">
        <v>2.97</v>
      </c>
      <c r="D16" s="35" t="n">
        <v>0.6899999999999999</v>
      </c>
      <c r="E16" s="36" t="n">
        <v>2</v>
      </c>
      <c r="F16" s="37" t="n">
        <v>1</v>
      </c>
      <c r="G16" s="14">
        <f>E16+F16</f>
        <v/>
      </c>
      <c r="H16" s="14" t="inlineStr">
        <is>
          <t>no</t>
        </is>
      </c>
      <c r="I16" s="36" t="n">
        <v>666</v>
      </c>
      <c r="J16" s="14" t="inlineStr">
        <is>
          <t>O5_hojita-olivo-5.png</t>
        </is>
      </c>
      <c r="K16" s="14" t="inlineStr">
        <is>
          <t>O5e_hojita-olivo-5.png</t>
        </is>
      </c>
    </row>
    <row r="17">
      <c r="A17" s="13" t="inlineStr">
        <is>
          <t>O6</t>
        </is>
      </c>
      <c r="B17" s="14" t="inlineStr">
        <is>
          <t>Hojita olivo 6</t>
        </is>
      </c>
      <c r="C17" s="35" t="n">
        <v>2.93</v>
      </c>
      <c r="D17" s="35" t="n">
        <v>0.85</v>
      </c>
      <c r="E17" s="36" t="n">
        <v>2</v>
      </c>
      <c r="F17" s="37" t="n">
        <v>1</v>
      </c>
      <c r="G17" s="14">
        <f>E17+F17</f>
        <v/>
      </c>
      <c r="H17" s="14" t="inlineStr">
        <is>
          <t>no</t>
        </is>
      </c>
      <c r="I17" s="36" t="n">
        <v>666</v>
      </c>
      <c r="J17" s="14" t="inlineStr">
        <is>
          <t>O6_hojita-olivo-6.png</t>
        </is>
      </c>
      <c r="K17" s="14" t="inlineStr">
        <is>
          <t>O6e_hojita-olivo-6.png</t>
        </is>
      </c>
    </row>
    <row r="18">
      <c r="A18" s="13" t="inlineStr">
        <is>
          <t>O7</t>
        </is>
      </c>
      <c r="B18" s="14" t="inlineStr">
        <is>
          <t>Hojita olivo 7</t>
        </is>
      </c>
      <c r="C18" s="35" t="n">
        <v>3.19</v>
      </c>
      <c r="D18" s="35" t="n">
        <v>0.67</v>
      </c>
      <c r="E18" s="36" t="n">
        <v>2</v>
      </c>
      <c r="F18" s="37" t="n">
        <v>0</v>
      </c>
      <c r="G18" s="14">
        <f>E18+F18</f>
        <v/>
      </c>
      <c r="H18" s="14" t="inlineStr">
        <is>
          <t>no</t>
        </is>
      </c>
      <c r="I18" s="36" t="n">
        <v>666</v>
      </c>
      <c r="J18" s="14" t="inlineStr">
        <is>
          <t>O7_hojita-olivo-7.png</t>
        </is>
      </c>
      <c r="K18" s="14" t="inlineStr">
        <is>
          <t>O7e_hojita-olivo-7.png</t>
        </is>
      </c>
    </row>
    <row r="19">
      <c r="A19" s="13" t="inlineStr">
        <is>
          <t>O8</t>
        </is>
      </c>
      <c r="B19" s="14" t="inlineStr">
        <is>
          <t>Hojita olivo 8</t>
        </is>
      </c>
      <c r="C19" s="35" t="n">
        <v>2.9</v>
      </c>
      <c r="D19" s="35" t="n">
        <v>0.8</v>
      </c>
      <c r="E19" s="36" t="n">
        <v>2</v>
      </c>
      <c r="F19" s="37" t="n">
        <v>0</v>
      </c>
      <c r="G19" s="14">
        <f>E19+F19</f>
        <v/>
      </c>
      <c r="H19" s="14" t="inlineStr">
        <is>
          <t>no</t>
        </is>
      </c>
      <c r="I19" s="36" t="n">
        <v>666</v>
      </c>
      <c r="J19" s="14" t="inlineStr">
        <is>
          <t>O8_hojita-olivo-8.png</t>
        </is>
      </c>
      <c r="K19" s="14" t="inlineStr">
        <is>
          <t>O8e_hojita-olivo-8.png</t>
        </is>
      </c>
    </row>
    <row r="20">
      <c r="A20" s="13" t="inlineStr">
        <is>
          <t>C1</t>
        </is>
      </c>
      <c r="B20" s="14" t="inlineStr">
        <is>
          <t>Cresta grande</t>
        </is>
      </c>
      <c r="C20" s="35" t="n">
        <v>35</v>
      </c>
      <c r="D20" s="35" t="n">
        <v>11.94</v>
      </c>
      <c r="E20" s="36" t="n">
        <v>2</v>
      </c>
      <c r="F20" s="37" t="n">
        <v>1</v>
      </c>
      <c r="G20" s="14">
        <f>E20+F20</f>
        <v/>
      </c>
      <c r="H20" s="14" t="inlineStr">
        <is>
          <t>sí</t>
        </is>
      </c>
      <c r="I20" s="36" t="n">
        <v>252</v>
      </c>
      <c r="J20" s="14" t="inlineStr">
        <is>
          <t>C1_cresta-grande.png</t>
        </is>
      </c>
      <c r="K20" s="14" t="inlineStr">
        <is>
          <t>C1e_cresta-grande.png</t>
        </is>
      </c>
    </row>
    <row r="21">
      <c r="A21" s="13" t="inlineStr">
        <is>
          <t>C2</t>
        </is>
      </c>
      <c r="B21" s="14" t="inlineStr">
        <is>
          <t>Cresta chica alta</t>
        </is>
      </c>
      <c r="C21" s="35" t="n">
        <v>18</v>
      </c>
      <c r="D21" s="35" t="n">
        <v>10.48</v>
      </c>
      <c r="E21" s="36" t="n">
        <v>2</v>
      </c>
      <c r="F21" s="37" t="n">
        <v>1</v>
      </c>
      <c r="G21" s="14">
        <f>E21+F21</f>
        <v/>
      </c>
      <c r="H21" s="14" t="inlineStr">
        <is>
          <t>sí</t>
        </is>
      </c>
      <c r="I21" s="36" t="n">
        <v>196</v>
      </c>
      <c r="J21" s="14" t="inlineStr">
        <is>
          <t>C2_cresta-chica-alta.png</t>
        </is>
      </c>
      <c r="K21" s="14" t="inlineStr">
        <is>
          <t>C2e_cresta-chica-alta.png</t>
        </is>
      </c>
    </row>
    <row r="22">
      <c r="A22" s="13" t="inlineStr">
        <is>
          <t>C3</t>
        </is>
      </c>
      <c r="B22" s="14" t="inlineStr">
        <is>
          <t>Cresta chica larga</t>
        </is>
      </c>
      <c r="C22" s="35" t="n">
        <v>18</v>
      </c>
      <c r="D22" s="35" t="n">
        <v>7.15</v>
      </c>
      <c r="E22" s="36" t="n">
        <v>2</v>
      </c>
      <c r="F22" s="37" t="n">
        <v>1</v>
      </c>
      <c r="G22" s="14">
        <f>E22+F22</f>
        <v/>
      </c>
      <c r="H22" s="14" t="inlineStr">
        <is>
          <t>sí</t>
        </is>
      </c>
      <c r="I22" s="36" t="n">
        <v>217</v>
      </c>
      <c r="J22" s="14" t="inlineStr">
        <is>
          <t>C3_cresta-chica-larga.png</t>
        </is>
      </c>
      <c r="K22" s="14" t="inlineStr">
        <is>
          <t>C3e_cresta-chica-larga.png</t>
        </is>
      </c>
    </row>
    <row r="23">
      <c r="D23" s="13" t="inlineStr">
        <is>
          <t>Total</t>
        </is>
      </c>
      <c r="E23" s="13">
        <f>SUM(E5:E22)</f>
        <v/>
      </c>
      <c r="F23" s="13">
        <f>SUM(F5:F22)</f>
        <v/>
      </c>
      <c r="G23" s="13">
        <f>SUM(G5:G22)</f>
        <v/>
      </c>
    </row>
    <row r="24">
      <c r="D24" s="13" t="inlineStr">
        <is>
          <t>Recortes de fieltro</t>
        </is>
      </c>
      <c r="E24" s="13">
        <f>2*SUMIFS(E5:E22,H5:H22,"sí")</f>
        <v/>
      </c>
      <c r="F24" s="38" t="inlineStr">
        <is>
          <t>dos capas por pieza rellena (−8 mm y −3 mm)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F6652"/>
    <outlinePr summaryBelow="1" summaryRight="1"/>
    <pageSetUpPr fitToPage="1"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14" customWidth="1" min="3" max="3"/>
  </cols>
  <sheetData>
    <row r="1">
      <c r="A1" s="1" t="inlineStr">
        <is>
          <t>Herramientas del taller</t>
        </is>
      </c>
    </row>
    <row r="2">
      <c r="A2" s="2" t="inlineStr">
        <is>
          <t>Marcar si ya se tienen; lo que falte pasa a Compras.</t>
        </is>
      </c>
    </row>
    <row r="4" ht="30" customHeight="1">
      <c r="A4" s="12" t="inlineStr">
        <is>
          <t>N.º</t>
        </is>
      </c>
      <c r="B4" s="12" t="inlineStr">
        <is>
          <t>Herramienta</t>
        </is>
      </c>
      <c r="C4" s="12" t="inlineStr">
        <is>
          <t>¿Lo tenemos?</t>
        </is>
      </c>
    </row>
    <row r="5">
      <c r="A5" s="14" t="n">
        <v>1</v>
      </c>
      <c r="B5" s="15" t="inlineStr">
        <is>
          <t>Bastidor de mesa largo (≥ 2,2 × 1,6 m) o caballetes con listones, para trabajar el manto extendido en tres franjas</t>
        </is>
      </c>
      <c r="C5" s="19" t="n"/>
    </row>
    <row r="6">
      <c r="A6" s="14" t="n">
        <v>2</v>
      </c>
      <c r="B6" s="15" t="inlineStr">
        <is>
          <t>Bastidor de rodillo de ≥ 50 × 55 cm para la cruz</t>
        </is>
      </c>
      <c r="C6" s="19" t="n"/>
    </row>
    <row r="7">
      <c r="A7" s="14" t="n">
        <v>3</v>
      </c>
      <c r="B7" s="15" t="inlineStr">
        <is>
          <t>Prensa térmica con control de temperatura, papel siliconado o teflón y almohadilla</t>
        </is>
      </c>
      <c r="C7" s="19" t="n"/>
    </row>
    <row r="8">
      <c r="A8" s="14" t="n">
        <v>4</v>
      </c>
      <c r="B8" s="15" t="inlineStr">
        <is>
          <t>Agujas de bordar n.º 9–10, agujas de pedrería n.º 10–12 y agujas curvas para el forro</t>
        </is>
      </c>
      <c r="C8" s="19" t="n"/>
    </row>
    <row r="9">
      <c r="A9" s="14" t="n">
        <v>5</v>
      </c>
      <c r="B9" s="15" t="inlineStr">
        <is>
          <t>Punzón o rueda de picar y polvo de estarcir, para pasar el dibujo de papel de seda al terciopelo</t>
        </is>
      </c>
      <c r="C9" s="19" t="n"/>
    </row>
    <row r="10">
      <c r="A10" s="14" t="n">
        <v>6</v>
      </c>
      <c r="B10" s="15" t="inlineStr">
        <is>
          <t>Tiza de sastre e hilo de hilvanar de color claro</t>
        </is>
      </c>
      <c r="C10" s="19" t="n"/>
    </row>
    <row r="11">
      <c r="A11" s="14" t="n">
        <v>7</v>
      </c>
      <c r="B11" s="15" t="inlineStr">
        <is>
          <t>Dinamómetro de pesca de 2 kg (prueba de tirón), balanza de cocina en gramos (muestras) y balanza colgante o de baño de 5 kg (peso final del manto)</t>
        </is>
      </c>
      <c r="C11" s="19" t="n"/>
    </row>
    <row r="12">
      <c r="A12" s="14" t="n">
        <v>8</v>
      </c>
      <c r="B12" s="15" t="inlineStr">
        <is>
          <t>Muselina (2,5 m) y cartulina dorada y marfil para la prueba de lectura a 10 m</t>
        </is>
      </c>
      <c r="C12" s="19" t="n"/>
    </row>
  </sheetData>
  <dataValidations count="1">
    <dataValidation sqref="C5:C12" showDropDown="0" showInputMessage="0" showErrorMessage="0" allowBlank="1" type="list">
      <formula1>"sí,no,prestado"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2026-10-22T21:23:48Z</dcterms:created>
  <dcterms:modified xmlns:dcterms="http://purl.org/dc/terms/" xmlns:xsi="http://www.w3.org/2001/XMLSchema-instance" xsi:type="dcterms:W3CDTF">2026-10-22T21:23:48Z</dcterms:modified>
</cp:coreProperties>
</file>